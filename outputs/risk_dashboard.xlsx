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Returns" sheetId="3" state="visible" r:id="rId3"/>
    <sheet name="Risk" sheetId="4" state="visible" r:id="rId4"/>
    <sheet name="Sector_Stats" sheetId="5" state="visible" r:id="rId5"/>
    <sheet name="Regime_Analysis" sheetId="6" state="visible" r:id="rId6"/>
    <sheet name="Model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;($#,##0);-"/>
    <numFmt numFmtId="165" formatCode="0.0%"/>
    <numFmt numFmtId="166" formatCode="0.000"/>
    <numFmt numFmtId="167" formatCode="yyyy-mm-dd"/>
    <numFmt numFmtId="168" formatCode="0.000%"/>
    <numFmt numFmtId="169" formatCode="0.00%;(0.00%);-"/>
    <numFmt numFmtId="170" formatCode="0.0%;(0.0%);-"/>
    <numFmt numFmtId="171" formatCode="0.0000"/>
    <numFmt numFmtId="172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69" fontId="7" fillId="0" borderId="0" pivotButton="0" quotePrefix="0" xfId="0"/>
    <xf numFmtId="2" fontId="7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165" fontId="3" fillId="2" borderId="0" pivotButton="0" quotePrefix="0" xfId="0"/>
    <xf numFmtId="10" fontId="3" fillId="2" borderId="0" pivotButton="0" quotePrefix="0" xfId="0"/>
    <xf numFmtId="1" fontId="3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3" fillId="2" borderId="0" pivotButton="0" quotePrefix="0" xfId="0"/>
    <xf numFmtId="165" fontId="7" fillId="0" borderId="0" pivotButton="0" quotePrefix="0" xfId="0"/>
    <xf numFmtId="167" fontId="3" fillId="0" borderId="0" pivotButton="0" quotePrefix="0" xfId="0"/>
    <xf numFmtId="10" fontId="3" fillId="0" borderId="0" pivotButton="0" quotePrefix="0" xfId="0"/>
    <xf numFmtId="10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70" fontId="7" fillId="0" borderId="0" pivotButton="0" quotePrefix="0" xfId="0"/>
    <xf numFmtId="170" fontId="2" fillId="0" borderId="0" pivotButton="0" quotePrefix="0" xfId="0"/>
    <xf numFmtId="2" fontId="3" fillId="0" borderId="0" pivotButton="0" quotePrefix="0" xfId="0"/>
    <xf numFmtId="170" fontId="3" fillId="2" borderId="0" pivotButton="0" quotePrefix="0" xfId="0"/>
    <xf numFmtId="171" fontId="3" fillId="0" borderId="0" pivotButton="0" quotePrefix="0" xfId="0"/>
    <xf numFmtId="165" fontId="3" fillId="0" borderId="0" pivotButton="0" quotePrefix="0" xfId="0"/>
    <xf numFmtId="17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of 1 in the portfolio</a:t>
            </a:r>
          </a:p>
        </rich>
      </tx>
    </title>
    <plotArea>
      <lineChart>
        <grouping val="standard"/>
        <ser>
          <idx val="0"/>
          <order val="0"/>
          <tx>
            <strRef>
              <f>'Returns'!N5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'Returns'!$A$6:$A$509</f>
            </numRef>
          </cat>
          <val>
            <numRef>
              <f>'Returns'!$N$6:$N$509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return distribution (days per bin, labelled by lower edge)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'Risk'!B62</f>
            </strRef>
          </tx>
          <spPr>
            <a:ln>
              <a:prstDash val="solid"/>
            </a:ln>
          </spPr>
          <cat>
            <numRef>
              <f>'Risk'!$A$63:$A$84</f>
            </numRef>
          </cat>
          <val>
            <numRef>
              <f>'Risk'!$B$63:$B$84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'Returns'!P5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'Returns'!$A$6:$A$509</f>
            </numRef>
          </cat>
          <val>
            <numRef>
              <f>'Returns'!$P$6:$P$509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38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Equity risk dashboard</t>
        </is>
      </c>
    </row>
    <row r="2">
      <c r="A2" s="2" t="inlineStr">
        <is>
          <t>Data source: yfinance+fred</t>
        </is>
      </c>
    </row>
    <row r="3">
      <c r="A3" s="2" t="inlineStr">
        <is>
          <t>10-stock portfolio, last 504 trading days. Change weights on the Inputs tab.</t>
        </is>
      </c>
    </row>
    <row r="5">
      <c r="A5" s="3" t="inlineStr">
        <is>
          <t>Key metric</t>
        </is>
      </c>
      <c r="B5" s="3" t="inlineStr">
        <is>
          <t>Value</t>
        </is>
      </c>
    </row>
    <row r="6">
      <c r="A6" s="2" t="inlineStr">
        <is>
          <t>Annualised return</t>
        </is>
      </c>
      <c r="B6" s="4">
        <f>Risk!B7</f>
        <v/>
      </c>
    </row>
    <row r="7">
      <c r="A7" s="2" t="inlineStr">
        <is>
          <t>Annualised volatility</t>
        </is>
      </c>
      <c r="B7" s="4">
        <f>Risk!B8</f>
        <v/>
      </c>
    </row>
    <row r="8">
      <c r="A8" s="2" t="inlineStr">
        <is>
          <t>Sharpe ratio</t>
        </is>
      </c>
      <c r="B8" s="5">
        <f>Risk!B9</f>
        <v/>
      </c>
    </row>
    <row r="9">
      <c r="A9" s="2" t="inlineStr">
        <is>
          <t>Maximum drawdown</t>
        </is>
      </c>
      <c r="B9" s="4">
        <f>Risk!B12</f>
        <v/>
      </c>
    </row>
    <row r="10">
      <c r="A10" s="2" t="inlineStr">
        <is>
          <t>Beta vs SPY</t>
        </is>
      </c>
      <c r="B10" s="5">
        <f>Risk!B13</f>
        <v/>
      </c>
    </row>
    <row r="11">
      <c r="A11" s="2" t="inlineStr">
        <is>
          <t>1-day historical VaR ($)</t>
        </is>
      </c>
      <c r="B11" s="6">
        <f>Risk!B17</f>
        <v/>
      </c>
    </row>
    <row r="12">
      <c r="A12" s="2" t="inlineStr">
        <is>
          <t>1-day CVaR ($)</t>
        </is>
      </c>
      <c r="B12" s="6">
        <f>Risk!B18</f>
        <v/>
      </c>
    </row>
    <row r="13">
      <c r="A13" s="2" t="inlineStr">
        <is>
          <t>Horizon parametric VaR ($)</t>
        </is>
      </c>
      <c r="B13" s="6">
        <f>Risk!B19</f>
        <v/>
      </c>
    </row>
    <row r="15">
      <c r="A15" s="2" t="inlineStr">
        <is>
          <t>Weights check</t>
        </is>
      </c>
      <c r="B15" s="7">
        <f>Inputs!E20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12" customWidth="1" min="4" max="4"/>
    <col width="28" customWidth="1" min="5" max="5"/>
  </cols>
  <sheetData>
    <row r="1">
      <c r="A1" s="1" t="inlineStr">
        <is>
          <t>Portfolio inputs</t>
        </is>
      </c>
    </row>
    <row r="2">
      <c r="A2" s="2" t="inlineStr">
        <is>
          <t>Data source: yfinance+fred</t>
        </is>
      </c>
    </row>
    <row r="3">
      <c r="A3" s="2" t="inlineStr">
        <is>
          <t>Portfolio value ($)</t>
        </is>
      </c>
      <c r="B3" s="8" t="n">
        <v>1000000</v>
      </c>
      <c r="C3" s="9" t="inlineStr">
        <is>
          <t>Assumption: notional size for $ risk numbers</t>
        </is>
      </c>
    </row>
    <row r="4">
      <c r="A4" s="2" t="inlineStr">
        <is>
          <t>VaR confidence level</t>
        </is>
      </c>
      <c r="B4" s="10" t="n">
        <v>0.95</v>
      </c>
      <c r="C4" s="9" t="inlineStr">
        <is>
          <t>Assumption: 95% is a common desk convention</t>
        </is>
      </c>
    </row>
    <row r="5">
      <c r="A5" s="2" t="inlineStr">
        <is>
          <t>Risk-free rate (annual)</t>
        </is>
      </c>
      <c r="B5" s="11" t="n">
        <v>0.03</v>
      </c>
      <c r="C5" s="9" t="inlineStr">
        <is>
          <t>Assumption: flat rate used in Sharpe ratio</t>
        </is>
      </c>
    </row>
    <row r="6">
      <c r="A6" s="2" t="inlineStr">
        <is>
          <t>Trading days per year</t>
        </is>
      </c>
      <c r="B6" s="12" t="n">
        <v>252</v>
      </c>
      <c r="C6" s="9" t="inlineStr">
        <is>
          <t>Convention</t>
        </is>
      </c>
    </row>
    <row r="7">
      <c r="A7" s="2" t="inlineStr">
        <is>
          <t>VaR horizon (days)</t>
        </is>
      </c>
      <c r="B7" s="12" t="n">
        <v>10</v>
      </c>
      <c r="C7" s="9" t="inlineStr">
        <is>
          <t>Used for the square-root-of-time VaR</t>
        </is>
      </c>
    </row>
    <row r="9">
      <c r="A9" s="3" t="inlineStr">
        <is>
          <t>Ticker</t>
        </is>
      </c>
      <c r="B9" s="3" t="inlineStr">
        <is>
          <t>Name</t>
        </is>
      </c>
      <c r="C9" s="3" t="inlineStr">
        <is>
          <t>Sector</t>
        </is>
      </c>
      <c r="D9" s="3" t="inlineStr">
        <is>
          <t>Weight</t>
        </is>
      </c>
    </row>
    <row r="10">
      <c r="A10" s="13" t="inlineStr">
        <is>
          <t>AAPL</t>
        </is>
      </c>
      <c r="B10" s="13" t="inlineStr">
        <is>
          <t>Apple</t>
        </is>
      </c>
      <c r="C10" s="13" t="inlineStr">
        <is>
          <t>Technology</t>
        </is>
      </c>
      <c r="D10" s="10" t="n">
        <v>0.1</v>
      </c>
    </row>
    <row r="11">
      <c r="A11" s="13" t="inlineStr">
        <is>
          <t>MSFT</t>
        </is>
      </c>
      <c r="B11" s="13" t="inlineStr">
        <is>
          <t>Microsoft</t>
        </is>
      </c>
      <c r="C11" s="13" t="inlineStr">
        <is>
          <t>Technology</t>
        </is>
      </c>
      <c r="D11" s="10" t="n">
        <v>0.1</v>
      </c>
    </row>
    <row r="12">
      <c r="A12" s="13" t="inlineStr">
        <is>
          <t>JPM</t>
        </is>
      </c>
      <c r="B12" s="13" t="inlineStr">
        <is>
          <t>JPMorgan Chase</t>
        </is>
      </c>
      <c r="C12" s="13" t="inlineStr">
        <is>
          <t>Financials</t>
        </is>
      </c>
      <c r="D12" s="10" t="n">
        <v>0.1</v>
      </c>
    </row>
    <row r="13">
      <c r="A13" s="13" t="inlineStr">
        <is>
          <t>JNJ</t>
        </is>
      </c>
      <c r="B13" s="13" t="inlineStr">
        <is>
          <t>Johnson &amp; Johnson</t>
        </is>
      </c>
      <c r="C13" s="13" t="inlineStr">
        <is>
          <t>Health Care</t>
        </is>
      </c>
      <c r="D13" s="10" t="n">
        <v>0.1</v>
      </c>
    </row>
    <row r="14">
      <c r="A14" s="13" t="inlineStr">
        <is>
          <t>XOM</t>
        </is>
      </c>
      <c r="B14" s="13" t="inlineStr">
        <is>
          <t>Exxon Mobil</t>
        </is>
      </c>
      <c r="C14" s="13" t="inlineStr">
        <is>
          <t>Energy</t>
        </is>
      </c>
      <c r="D14" s="10" t="n">
        <v>0.1</v>
      </c>
    </row>
    <row r="15">
      <c r="A15" s="13" t="inlineStr">
        <is>
          <t>PG</t>
        </is>
      </c>
      <c r="B15" s="13" t="inlineStr">
        <is>
          <t>Procter &amp; Gamble</t>
        </is>
      </c>
      <c r="C15" s="13" t="inlineStr">
        <is>
          <t>Consumer Staples</t>
        </is>
      </c>
      <c r="D15" s="10" t="n">
        <v>0.1</v>
      </c>
    </row>
    <row r="16">
      <c r="A16" s="13" t="inlineStr">
        <is>
          <t>AMZN</t>
        </is>
      </c>
      <c r="B16" s="13" t="inlineStr">
        <is>
          <t>Amazon</t>
        </is>
      </c>
      <c r="C16" s="13" t="inlineStr">
        <is>
          <t>Consumer Discretionary</t>
        </is>
      </c>
      <c r="D16" s="10" t="n">
        <v>0.1</v>
      </c>
    </row>
    <row r="17">
      <c r="A17" s="13" t="inlineStr">
        <is>
          <t>NEE</t>
        </is>
      </c>
      <c r="B17" s="13" t="inlineStr">
        <is>
          <t>NextEra Energy</t>
        </is>
      </c>
      <c r="C17" s="13" t="inlineStr">
        <is>
          <t>Utilities</t>
        </is>
      </c>
      <c r="D17" s="10" t="n">
        <v>0.1</v>
      </c>
    </row>
    <row r="18">
      <c r="A18" s="13" t="inlineStr">
        <is>
          <t>CAT</t>
        </is>
      </c>
      <c r="B18" s="13" t="inlineStr">
        <is>
          <t>Caterpillar</t>
        </is>
      </c>
      <c r="C18" s="13" t="inlineStr">
        <is>
          <t>Industrials</t>
        </is>
      </c>
      <c r="D18" s="10" t="n">
        <v>0.1</v>
      </c>
    </row>
    <row r="19">
      <c r="A19" s="13" t="inlineStr">
        <is>
          <t>VZ</t>
        </is>
      </c>
      <c r="B19" s="13" t="inlineStr">
        <is>
          <t>Verizon</t>
        </is>
      </c>
      <c r="C19" s="13" t="inlineStr">
        <is>
          <t>Communication</t>
        </is>
      </c>
      <c r="D19" s="10" t="n">
        <v>0.1</v>
      </c>
    </row>
    <row r="20">
      <c r="C20" s="14" t="inlineStr">
        <is>
          <t>Total</t>
        </is>
      </c>
      <c r="D20" s="15">
        <f>SUM(D10:D19)</f>
        <v/>
      </c>
      <c r="E20" s="14">
        <f>IF(ABS(D20-1)&lt;0.0001,"OK","Weights must sum to 100%")</f>
        <v/>
      </c>
    </row>
    <row r="22">
      <c r="A22" s="14" t="inlineStr">
        <is>
          <t>Legend</t>
        </is>
      </c>
    </row>
    <row r="23">
      <c r="A23" s="13" t="inlineStr">
        <is>
          <t>Blue text = hardcoded input or data</t>
        </is>
      </c>
    </row>
    <row r="24">
      <c r="A24" s="2" t="inlineStr">
        <is>
          <t>Black text = formula</t>
        </is>
      </c>
    </row>
    <row r="25">
      <c r="A25" s="7" t="inlineStr">
        <is>
          <t>Green text = link from another sheet</t>
        </is>
      </c>
    </row>
    <row r="26">
      <c r="A26" s="16" t="inlineStr">
        <is>
          <t>Yellow fill = cells to change (weights, portfolio value, etc.)</t>
        </is>
      </c>
    </row>
    <row r="27">
      <c r="A27" s="2" t="inlineStr">
        <is>
          <t>Tip: try Data &gt; Solver to maximise the Sharpe ratio on Risk!B9 by changing the weights.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Daily simple returns, last 504 trading days</t>
        </is>
      </c>
    </row>
    <row r="2">
      <c r="A2" s="2" t="inlineStr">
        <is>
          <t>Source: daily_returns view in the SQL database (adjusted close). Data in blue.</t>
        </is>
      </c>
    </row>
    <row r="3">
      <c r="A3" s="14" t="inlineStr">
        <is>
          <t>Weight</t>
        </is>
      </c>
      <c r="B3" s="17">
        <f>Inputs!D10</f>
        <v/>
      </c>
      <c r="C3" s="17">
        <f>Inputs!D11</f>
        <v/>
      </c>
      <c r="D3" s="17">
        <f>Inputs!D12</f>
        <v/>
      </c>
      <c r="E3" s="17">
        <f>Inputs!D13</f>
        <v/>
      </c>
      <c r="F3" s="17">
        <f>Inputs!D14</f>
        <v/>
      </c>
      <c r="G3" s="17">
        <f>Inputs!D15</f>
        <v/>
      </c>
      <c r="H3" s="17">
        <f>Inputs!D16</f>
        <v/>
      </c>
      <c r="I3" s="17">
        <f>Inputs!D17</f>
        <v/>
      </c>
      <c r="J3" s="17">
        <f>Inputs!D18</f>
        <v/>
      </c>
      <c r="K3" s="17">
        <f>Inputs!D19</f>
        <v/>
      </c>
    </row>
    <row r="5">
      <c r="A5" s="3" t="inlineStr">
        <is>
          <t>Date</t>
        </is>
      </c>
      <c r="B5" s="3">
        <f>Inputs!A10</f>
        <v/>
      </c>
      <c r="C5" s="3">
        <f>Inputs!A11</f>
        <v/>
      </c>
      <c r="D5" s="3">
        <f>Inputs!A12</f>
        <v/>
      </c>
      <c r="E5" s="3">
        <f>Inputs!A13</f>
        <v/>
      </c>
      <c r="F5" s="3">
        <f>Inputs!A14</f>
        <v/>
      </c>
      <c r="G5" s="3">
        <f>Inputs!A15</f>
        <v/>
      </c>
      <c r="H5" s="3">
        <f>Inputs!A16</f>
        <v/>
      </c>
      <c r="I5" s="3">
        <f>Inputs!A17</f>
        <v/>
      </c>
      <c r="J5" s="3">
        <f>Inputs!A18</f>
        <v/>
      </c>
      <c r="K5" s="3">
        <f>Inputs!A19</f>
        <v/>
      </c>
      <c r="L5" s="3" t="inlineStr">
        <is>
          <t>SPY</t>
        </is>
      </c>
      <c r="M5" s="3" t="inlineStr">
        <is>
          <t>Portfolio</t>
        </is>
      </c>
      <c r="N5" s="3" t="inlineStr">
        <is>
          <t>Growth of 1</t>
        </is>
      </c>
      <c r="O5" s="3" t="inlineStr">
        <is>
          <t>Running max</t>
        </is>
      </c>
      <c r="P5" s="3" t="inlineStr">
        <is>
          <t>Drawdown</t>
        </is>
      </c>
    </row>
    <row r="6">
      <c r="A6" s="18" t="inlineStr">
        <is>
          <t>2023-12-27</t>
        </is>
      </c>
      <c r="B6" s="19" t="n">
        <v>0.0005179474719336774</v>
      </c>
      <c r="C6" s="19" t="n">
        <v>-0.001574676984483547</v>
      </c>
      <c r="D6" s="19" t="n">
        <v>0.005998068994993444</v>
      </c>
      <c r="E6" s="19" t="n">
        <v>0.00134483115759898</v>
      </c>
      <c r="F6" s="19" t="n">
        <v>-0.004699407344213813</v>
      </c>
      <c r="G6" s="19" t="n">
        <v>0.0008221427139456505</v>
      </c>
      <c r="H6" s="19" t="n">
        <v>-0.0004563413242133496</v>
      </c>
      <c r="I6" s="19" t="n">
        <v>0.006145219463487006</v>
      </c>
      <c r="J6" s="19" t="n">
        <v>0.008422454651658251</v>
      </c>
      <c r="K6" s="19" t="n">
        <v>-0.004535907060458588</v>
      </c>
      <c r="L6" s="19" t="n">
        <v>0.001808151597168628</v>
      </c>
      <c r="M6" s="20">
        <f>SUMPRODUCT($B$3:$K$3,B6:K6)</f>
        <v/>
      </c>
      <c r="N6" s="21">
        <f>1+M6</f>
        <v/>
      </c>
      <c r="O6" s="21">
        <f>MAX(1,N6)</f>
        <v/>
      </c>
      <c r="P6" s="20">
        <f>N6/O6-1</f>
        <v/>
      </c>
    </row>
    <row r="7">
      <c r="A7" s="18" t="inlineStr">
        <is>
          <t>2023-12-28</t>
        </is>
      </c>
      <c r="B7" s="19" t="n">
        <v>0.002226325026021936</v>
      </c>
      <c r="C7" s="19" t="n">
        <v>0.003234645536760006</v>
      </c>
      <c r="D7" s="19" t="n">
        <v>0.00531270159869135</v>
      </c>
      <c r="E7" s="19" t="n">
        <v>0.001471233401574068</v>
      </c>
      <c r="F7" s="19" t="n">
        <v>-0.01446015975344717</v>
      </c>
      <c r="G7" s="19" t="n">
        <v>-0.002259259904203281</v>
      </c>
      <c r="H7" s="19" t="n">
        <v>0.0002609139551152939</v>
      </c>
      <c r="I7" s="19" t="n">
        <v>0.007263030378513724</v>
      </c>
      <c r="J7" s="19" t="n">
        <v>-0.004159218120105668</v>
      </c>
      <c r="K7" s="19" t="n">
        <v>0.004824375057806529</v>
      </c>
      <c r="L7" s="19" t="n">
        <v>0.0003776580662704365</v>
      </c>
      <c r="M7" s="20">
        <f>SUMPRODUCT($B$3:$K$3,B7:K7)</f>
        <v/>
      </c>
      <c r="N7" s="21">
        <f>N6*(1+M7)</f>
        <v/>
      </c>
      <c r="O7" s="21">
        <f>MAX(O6,N7)</f>
        <v/>
      </c>
      <c r="P7" s="20">
        <f>N7/O7-1</f>
        <v/>
      </c>
    </row>
    <row r="8">
      <c r="A8" s="18" t="inlineStr">
        <is>
          <t>2023-12-29</t>
        </is>
      </c>
      <c r="B8" s="19" t="n">
        <v>-0.005424037190115083</v>
      </c>
      <c r="C8" s="19" t="n">
        <v>0.002025143405784302</v>
      </c>
      <c r="D8" s="19" t="n">
        <v>-0.001174150187661649</v>
      </c>
      <c r="E8" s="19" t="n">
        <v>0.001021738876390454</v>
      </c>
      <c r="F8" s="19" t="n">
        <v>-0.002095855929557633</v>
      </c>
      <c r="G8" s="19" t="n">
        <v>0.005558135960504584</v>
      </c>
      <c r="H8" s="19" t="n">
        <v>-0.009388462612883952</v>
      </c>
      <c r="I8" s="19" t="n">
        <v>-0.004588595109493609</v>
      </c>
      <c r="J8" s="19" t="n">
        <v>-0.004075894780025791</v>
      </c>
      <c r="K8" s="19" t="n">
        <v>0.005601668067159782</v>
      </c>
      <c r="L8" s="19" t="n">
        <v>-0.002894968644065465</v>
      </c>
      <c r="M8" s="20">
        <f>SUMPRODUCT($B$3:$K$3,B8:K8)</f>
        <v/>
      </c>
      <c r="N8" s="21">
        <f>N7*(1+M8)</f>
        <v/>
      </c>
      <c r="O8" s="21">
        <f>MAX(O7,N8)</f>
        <v/>
      </c>
      <c r="P8" s="20">
        <f>N8/O8-1</f>
        <v/>
      </c>
    </row>
    <row r="9">
      <c r="A9" s="18" t="inlineStr">
        <is>
          <t>2024-01-02</t>
        </is>
      </c>
      <c r="B9" s="19" t="n">
        <v>-0.03578676477076659</v>
      </c>
      <c r="C9" s="19" t="n">
        <v>-0.01374849786788013</v>
      </c>
      <c r="D9" s="19" t="n">
        <v>0.01164011037696211</v>
      </c>
      <c r="E9" s="19" t="n">
        <v>0.02060764698495543</v>
      </c>
      <c r="F9" s="19" t="n">
        <v>0.02380472943534473</v>
      </c>
      <c r="G9" s="19" t="n">
        <v>0.01501310636022124</v>
      </c>
      <c r="H9" s="19" t="n">
        <v>-0.01322897020750102</v>
      </c>
      <c r="I9" s="19" t="n">
        <v>0.01366477367916508</v>
      </c>
      <c r="J9" s="19" t="n">
        <v>-0.01001096430277071</v>
      </c>
      <c r="K9" s="19" t="n">
        <v>0.03129982363881956</v>
      </c>
      <c r="L9" s="19" t="n">
        <v>-0.005596356311275752</v>
      </c>
      <c r="M9" s="20">
        <f>SUMPRODUCT($B$3:$K$3,B9:K9)</f>
        <v/>
      </c>
      <c r="N9" s="21">
        <f>N8*(1+M9)</f>
        <v/>
      </c>
      <c r="O9" s="21">
        <f>MAX(O8,N9)</f>
        <v/>
      </c>
      <c r="P9" s="20">
        <f>N9/O9-1</f>
        <v/>
      </c>
    </row>
    <row r="10">
      <c r="A10" s="18" t="inlineStr">
        <is>
          <t>2024-01-03</t>
        </is>
      </c>
      <c r="B10" s="19" t="n">
        <v>-0.007487376413986557</v>
      </c>
      <c r="C10" s="19" t="n">
        <v>-0.0007278977638554007</v>
      </c>
      <c r="D10" s="19" t="n">
        <v>-0.004358504457422474</v>
      </c>
      <c r="E10" s="19" t="n">
        <v>0.006250824388715825</v>
      </c>
      <c r="F10" s="19" t="n">
        <v>0.008401726365381279</v>
      </c>
      <c r="G10" s="19" t="n">
        <v>-0.006050767446965977</v>
      </c>
      <c r="H10" s="19" t="n">
        <v>-0.00973782115920796</v>
      </c>
      <c r="I10" s="19" t="n">
        <v>0.006821542432884131</v>
      </c>
      <c r="J10" s="19" t="n">
        <v>-0.02873162675153196</v>
      </c>
      <c r="K10" s="19" t="n">
        <v>0.00720147676090499</v>
      </c>
      <c r="L10" s="19" t="n">
        <v>-0.008166689660125126</v>
      </c>
      <c r="M10" s="20">
        <f>SUMPRODUCT($B$3:$K$3,B10:K10)</f>
        <v/>
      </c>
      <c r="N10" s="21">
        <f>N9*(1+M10)</f>
        <v/>
      </c>
      <c r="O10" s="21">
        <f>MAX(O9,N10)</f>
        <v/>
      </c>
      <c r="P10" s="20">
        <f>N10/O10-1</f>
        <v/>
      </c>
    </row>
    <row r="11">
      <c r="A11" s="18" t="inlineStr">
        <is>
          <t>2024-01-04</t>
        </is>
      </c>
      <c r="B11" s="19" t="n">
        <v>-0.01270029118403171</v>
      </c>
      <c r="C11" s="19" t="n">
        <v>-0.007177803711828856</v>
      </c>
      <c r="D11" s="19" t="n">
        <v>0.006636214755763037</v>
      </c>
      <c r="E11" s="19" t="n">
        <v>-0.002111969510136369</v>
      </c>
      <c r="F11" s="19" t="n">
        <v>-0.008719225046147971</v>
      </c>
      <c r="G11" s="19" t="n">
        <v>0.005478697610321825</v>
      </c>
      <c r="H11" s="19" t="n">
        <v>-0.0262678915903487</v>
      </c>
      <c r="I11" s="19" t="n">
        <v>-0.003065091198357739</v>
      </c>
      <c r="J11" s="19" t="n">
        <v>0.00633129797623444</v>
      </c>
      <c r="K11" s="19" t="n">
        <v>0.005362839643303197</v>
      </c>
      <c r="L11" s="19" t="n">
        <v>-0.003221073749963277</v>
      </c>
      <c r="M11" s="20">
        <f>SUMPRODUCT($B$3:$K$3,B11:K11)</f>
        <v/>
      </c>
      <c r="N11" s="21">
        <f>N10*(1+M11)</f>
        <v/>
      </c>
      <c r="O11" s="21">
        <f>MAX(O10,N11)</f>
        <v/>
      </c>
      <c r="P11" s="20">
        <f>N11/O11-1</f>
        <v/>
      </c>
    </row>
    <row r="12">
      <c r="A12" s="18" t="inlineStr">
        <is>
          <t>2024-01-05</t>
        </is>
      </c>
      <c r="B12" s="19" t="n">
        <v>-0.004012800070639866</v>
      </c>
      <c r="C12" s="19" t="n">
        <v>-0.0005163222203058426</v>
      </c>
      <c r="D12" s="19" t="n">
        <v>0.005017175179702793</v>
      </c>
      <c r="E12" s="19" t="n">
        <v>0.003112622118849107</v>
      </c>
      <c r="F12" s="19" t="n">
        <v>0.003029740643894163</v>
      </c>
      <c r="G12" s="19" t="n">
        <v>-0.008274217064518474</v>
      </c>
      <c r="H12" s="19" t="n">
        <v>0.00463442024626004</v>
      </c>
      <c r="I12" s="19" t="n">
        <v>0.004530881628667549</v>
      </c>
      <c r="J12" s="19" t="n">
        <v>0.009891789904036496</v>
      </c>
      <c r="K12" s="19" t="n">
        <v>0.02108169446648445</v>
      </c>
      <c r="L12" s="19" t="n">
        <v>0.001369630093309926</v>
      </c>
      <c r="M12" s="20">
        <f>SUMPRODUCT($B$3:$K$3,B12:K12)</f>
        <v/>
      </c>
      <c r="N12" s="21">
        <f>N11*(1+M12)</f>
        <v/>
      </c>
      <c r="O12" s="21">
        <f>MAX(O11,N12)</f>
        <v/>
      </c>
      <c r="P12" s="20">
        <f>N12/O12-1</f>
        <v/>
      </c>
    </row>
    <row r="13">
      <c r="A13" s="18" t="inlineStr">
        <is>
          <t>2024-01-08</t>
        </is>
      </c>
      <c r="B13" s="19" t="n">
        <v>0.02417465752753212</v>
      </c>
      <c r="C13" s="19" t="n">
        <v>0.01887172736240705</v>
      </c>
      <c r="D13" s="19" t="n">
        <v>-0.001451020045434959</v>
      </c>
      <c r="E13" s="19" t="n">
        <v>0.002482371012159534</v>
      </c>
      <c r="F13" s="19" t="n">
        <v>-0.0166620166049477</v>
      </c>
      <c r="G13" s="19" t="n">
        <v>0.00861484403209789</v>
      </c>
      <c r="H13" s="19" t="n">
        <v>0.0265767038306346</v>
      </c>
      <c r="I13" s="19" t="n">
        <v>0.01353080294136122</v>
      </c>
      <c r="J13" s="19" t="n">
        <v>0.01149057046115187</v>
      </c>
      <c r="K13" s="19" t="n">
        <v>-0.002487407019073573</v>
      </c>
      <c r="L13" s="19" t="n">
        <v>0.01427600761854042</v>
      </c>
      <c r="M13" s="20">
        <f>SUMPRODUCT($B$3:$K$3,B13:K13)</f>
        <v/>
      </c>
      <c r="N13" s="21">
        <f>N12*(1+M13)</f>
        <v/>
      </c>
      <c r="O13" s="21">
        <f>MAX(O12,N13)</f>
        <v/>
      </c>
      <c r="P13" s="20">
        <f>N13/O13-1</f>
        <v/>
      </c>
    </row>
    <row r="14">
      <c r="A14" s="18" t="inlineStr">
        <is>
          <t>2024-01-09</t>
        </is>
      </c>
      <c r="B14" s="19" t="n">
        <v>-0.002263536585518366</v>
      </c>
      <c r="C14" s="19" t="n">
        <v>0.00293564506994648</v>
      </c>
      <c r="D14" s="19" t="n">
        <v>-0.007906201037307881</v>
      </c>
      <c r="E14" s="19" t="n">
        <v>0.0006192601331389547</v>
      </c>
      <c r="F14" s="19" t="n">
        <v>-0.01238595980110391</v>
      </c>
      <c r="G14" s="19" t="n">
        <v>0.00410244570831253</v>
      </c>
      <c r="H14" s="19" t="n">
        <v>0.01522460711434093</v>
      </c>
      <c r="I14" s="19" t="n">
        <v>-0.01446280421235768</v>
      </c>
      <c r="J14" s="19" t="n">
        <v>0.0001369645258626484</v>
      </c>
      <c r="K14" s="19" t="n">
        <v>-0.01001635562800929</v>
      </c>
      <c r="L14" s="19" t="n">
        <v>-0.001517043782700345</v>
      </c>
      <c r="M14" s="20">
        <f>SUMPRODUCT($B$3:$K$3,B14:K14)</f>
        <v/>
      </c>
      <c r="N14" s="21">
        <f>N13*(1+M14)</f>
        <v/>
      </c>
      <c r="O14" s="21">
        <f>MAX(O13,N14)</f>
        <v/>
      </c>
      <c r="P14" s="20">
        <f>N14/O14-1</f>
        <v/>
      </c>
    </row>
    <row r="15">
      <c r="A15" s="18" t="inlineStr">
        <is>
          <t>2024-01-10</t>
        </is>
      </c>
      <c r="B15" s="19" t="n">
        <v>0.005671554384305333</v>
      </c>
      <c r="C15" s="19" t="n">
        <v>0.01857405027562709</v>
      </c>
      <c r="D15" s="19" t="n">
        <v>0.00210952373593476</v>
      </c>
      <c r="E15" s="19" t="n">
        <v>0.001484774180309456</v>
      </c>
      <c r="F15" s="19" t="n">
        <v>-0.00983238594176139</v>
      </c>
      <c r="G15" s="19" t="n">
        <v>0.004286484577074479</v>
      </c>
      <c r="H15" s="19" t="n">
        <v>0.01559094065190725</v>
      </c>
      <c r="I15" s="19" t="n">
        <v>0.004354237314705856</v>
      </c>
      <c r="J15" s="19" t="n">
        <v>0.003626570989534006</v>
      </c>
      <c r="K15" s="19" t="n">
        <v>0.001024587216764239</v>
      </c>
      <c r="L15" s="19" t="n">
        <v>0.005655408921280358</v>
      </c>
      <c r="M15" s="20">
        <f>SUMPRODUCT($B$3:$K$3,B15:K15)</f>
        <v/>
      </c>
      <c r="N15" s="21">
        <f>N14*(1+M15)</f>
        <v/>
      </c>
      <c r="O15" s="21">
        <f>MAX(O14,N15)</f>
        <v/>
      </c>
      <c r="P15" s="20">
        <f>N15/O15-1</f>
        <v/>
      </c>
    </row>
    <row r="16">
      <c r="A16" s="18" t="inlineStr">
        <is>
          <t>2024-01-11</t>
        </is>
      </c>
      <c r="B16" s="19" t="n">
        <v>-0.003222516203828185</v>
      </c>
      <c r="C16" s="19" t="n">
        <v>0.004859355156445533</v>
      </c>
      <c r="D16" s="19" t="n">
        <v>-0.004210166026703988</v>
      </c>
      <c r="E16" s="19" t="n">
        <v>-0.004448126039267475</v>
      </c>
      <c r="F16" s="19" t="n">
        <v>-0.0002027276935074873</v>
      </c>
      <c r="G16" s="19" t="n">
        <v>0.003801545679559704</v>
      </c>
      <c r="H16" s="19" t="n">
        <v>0.009432101662268044</v>
      </c>
      <c r="I16" s="19" t="n">
        <v>-0.02504815701531593</v>
      </c>
      <c r="J16" s="19" t="n">
        <v>-0.00439773543289268</v>
      </c>
      <c r="K16" s="19" t="n">
        <v>-0.03019444358239631</v>
      </c>
      <c r="L16" s="19" t="n">
        <v>-0.0004406430412424722</v>
      </c>
      <c r="M16" s="20">
        <f>SUMPRODUCT($B$3:$K$3,B16:K16)</f>
        <v/>
      </c>
      <c r="N16" s="21">
        <f>N15*(1+M16)</f>
        <v/>
      </c>
      <c r="O16" s="21">
        <f>MAX(O15,N16)</f>
        <v/>
      </c>
      <c r="P16" s="20">
        <f>N16/O16-1</f>
        <v/>
      </c>
    </row>
    <row r="17">
      <c r="A17" s="18" t="inlineStr">
        <is>
          <t>2024-01-12</t>
        </is>
      </c>
      <c r="B17" s="19" t="n">
        <v>0.001778080624962985</v>
      </c>
      <c r="C17" s="19" t="n">
        <v>0.009983540666692603</v>
      </c>
      <c r="D17" s="19" t="n">
        <v>-0.007339970373828608</v>
      </c>
      <c r="E17" s="19" t="n">
        <v>0.007694968911809985</v>
      </c>
      <c r="F17" s="19" t="n">
        <v>0.01297246800493501</v>
      </c>
      <c r="G17" s="19" t="n">
        <v>0.0005979937935112201</v>
      </c>
      <c r="H17" s="19" t="n">
        <v>-0.00360869690053256</v>
      </c>
      <c r="I17" s="19" t="n">
        <v>0.005269968990725182</v>
      </c>
      <c r="J17" s="19" t="n">
        <v>-0.005649451037259778</v>
      </c>
      <c r="K17" s="19" t="n">
        <v>0.01741425671453856</v>
      </c>
      <c r="L17" s="19" t="n">
        <v>0.0006927159626370916</v>
      </c>
      <c r="M17" s="20">
        <f>SUMPRODUCT($B$3:$K$3,B17:K17)</f>
        <v/>
      </c>
      <c r="N17" s="21">
        <f>N16*(1+M17)</f>
        <v/>
      </c>
      <c r="O17" s="21">
        <f>MAX(O16,N17)</f>
        <v/>
      </c>
      <c r="P17" s="20">
        <f>N17/O17-1</f>
        <v/>
      </c>
    </row>
    <row r="18">
      <c r="A18" s="18" t="inlineStr">
        <is>
          <t>2024-01-16</t>
        </is>
      </c>
      <c r="B18" s="19" t="n">
        <v>-0.01231714313389254</v>
      </c>
      <c r="C18" s="19" t="n">
        <v>0.004633600916096992</v>
      </c>
      <c r="D18" s="19" t="n">
        <v>-0.006270124771801555</v>
      </c>
      <c r="E18" s="19" t="n">
        <v>-0.0115157281085847</v>
      </c>
      <c r="F18" s="19" t="n">
        <v>-0.02261109696216757</v>
      </c>
      <c r="G18" s="19" t="n">
        <v>-0.005378618737497676</v>
      </c>
      <c r="H18" s="19" t="n">
        <v>-0.009442449238027617</v>
      </c>
      <c r="I18" s="19" t="n">
        <v>-0.01130393337955582</v>
      </c>
      <c r="J18" s="19" t="n">
        <v>-0.01095003654628401</v>
      </c>
      <c r="K18" s="19" t="n">
        <v>0.01893145101401461</v>
      </c>
      <c r="L18" s="19" t="n">
        <v>-0.003671167195265723</v>
      </c>
      <c r="M18" s="20">
        <f>SUMPRODUCT($B$3:$K$3,B18:K18)</f>
        <v/>
      </c>
      <c r="N18" s="21">
        <f>N17*(1+M18)</f>
        <v/>
      </c>
      <c r="O18" s="21">
        <f>MAX(O17,N18)</f>
        <v/>
      </c>
      <c r="P18" s="20">
        <f>N18/O18-1</f>
        <v/>
      </c>
    </row>
    <row r="19">
      <c r="A19" s="18" t="inlineStr">
        <is>
          <t>2024-01-17</t>
        </is>
      </c>
      <c r="B19" s="19" t="n">
        <v>-0.005173421353296792</v>
      </c>
      <c r="C19" s="19" t="n">
        <v>-0.00204974675065428</v>
      </c>
      <c r="D19" s="19" t="n">
        <v>-0.005357677221773272</v>
      </c>
      <c r="E19" s="19" t="n">
        <v>-0.0005607176610966658</v>
      </c>
      <c r="F19" s="19" t="n">
        <v>-0.007268025921316257</v>
      </c>
      <c r="G19" s="19" t="n">
        <v>0.001001483602321773</v>
      </c>
      <c r="H19" s="19" t="n">
        <v>-0.009467203666572499</v>
      </c>
      <c r="I19" s="19" t="n">
        <v>-0.03446559924240822</v>
      </c>
      <c r="J19" s="19" t="n">
        <v>-0.02994108693962449</v>
      </c>
      <c r="K19" s="19" t="n">
        <v>-0.01068988417805905</v>
      </c>
      <c r="L19" s="19" t="n">
        <v>-0.005558695111485767</v>
      </c>
      <c r="M19" s="20">
        <f>SUMPRODUCT($B$3:$K$3,B19:K19)</f>
        <v/>
      </c>
      <c r="N19" s="21">
        <f>N18*(1+M19)</f>
        <v/>
      </c>
      <c r="O19" s="21">
        <f>MAX(O18,N19)</f>
        <v/>
      </c>
      <c r="P19" s="20">
        <f>N19/O19-1</f>
        <v/>
      </c>
    </row>
    <row r="20">
      <c r="A20" s="18" t="inlineStr">
        <is>
          <t>2024-01-18</t>
        </is>
      </c>
      <c r="B20" s="19" t="n">
        <v>0.03257082926280752</v>
      </c>
      <c r="C20" s="19" t="n">
        <v>0.01129720279328517</v>
      </c>
      <c r="D20" s="19" t="n">
        <v>0.001975005654284878</v>
      </c>
      <c r="E20" s="19" t="n">
        <v>0.00486217667562916</v>
      </c>
      <c r="F20" s="19" t="n">
        <v>-0.001855774386837816</v>
      </c>
      <c r="G20" s="19" t="n">
        <v>-0.005765081177232623</v>
      </c>
      <c r="H20" s="19" t="n">
        <v>0.01179878193208994</v>
      </c>
      <c r="I20" s="19" t="n">
        <v>-0.01064021610392207</v>
      </c>
      <c r="J20" s="19" t="n">
        <v>0.01173599133950676</v>
      </c>
      <c r="K20" s="19" t="n">
        <v>0.001800898762193803</v>
      </c>
      <c r="L20" s="19" t="n">
        <v>0.008892738214384188</v>
      </c>
      <c r="M20" s="20">
        <f>SUMPRODUCT($B$3:$K$3,B20:K20)</f>
        <v/>
      </c>
      <c r="N20" s="21">
        <f>N19*(1+M20)</f>
        <v/>
      </c>
      <c r="O20" s="21">
        <f>MAX(O19,N20)</f>
        <v/>
      </c>
      <c r="P20" s="20">
        <f>N20/O20-1</f>
        <v/>
      </c>
    </row>
    <row r="21">
      <c r="A21" s="18" t="inlineStr">
        <is>
          <t>2024-01-19</t>
        </is>
      </c>
      <c r="B21" s="19" t="n">
        <v>0.01553283507298708</v>
      </c>
      <c r="C21" s="19" t="n">
        <v>0.01218686387439227</v>
      </c>
      <c r="D21" s="19" t="n">
        <v>0.01726186022283827</v>
      </c>
      <c r="E21" s="19" t="n">
        <v>0.002915317739979439</v>
      </c>
      <c r="F21" s="19" t="n">
        <v>0.001549282081214631</v>
      </c>
      <c r="G21" s="19" t="n">
        <v>-0.003847474716343169</v>
      </c>
      <c r="H21" s="19" t="n">
        <v>0.01198694682664891</v>
      </c>
      <c r="I21" s="19" t="n">
        <v>-0.006764957946918781</v>
      </c>
      <c r="J21" s="19" t="n">
        <v>0.01667858368527386</v>
      </c>
      <c r="K21" s="19" t="n">
        <v>0.01001552536203265</v>
      </c>
      <c r="L21" s="19" t="n">
        <v>0.01246615072392032</v>
      </c>
      <c r="M21" s="20">
        <f>SUMPRODUCT($B$3:$K$3,B21:K21)</f>
        <v/>
      </c>
      <c r="N21" s="21">
        <f>N20*(1+M21)</f>
        <v/>
      </c>
      <c r="O21" s="21">
        <f>MAX(O20,N21)</f>
        <v/>
      </c>
      <c r="P21" s="20">
        <f>N21/O21-1</f>
        <v/>
      </c>
    </row>
    <row r="22">
      <c r="A22" s="18" t="inlineStr">
        <is>
          <t>2024-01-22</t>
        </is>
      </c>
      <c r="B22" s="19" t="n">
        <v>0.0121631574640213</v>
      </c>
      <c r="C22" s="19" t="n">
        <v>-0.00541805958880448</v>
      </c>
      <c r="D22" s="19" t="n">
        <v>-0.001174250857979287</v>
      </c>
      <c r="E22" s="19" t="n">
        <v>0.004886270135574522</v>
      </c>
      <c r="F22" s="19" t="n">
        <v>-0.001340691488377566</v>
      </c>
      <c r="G22" s="19" t="n">
        <v>0.001964979757935081</v>
      </c>
      <c r="H22" s="19" t="n">
        <v>-0.003604979862209201</v>
      </c>
      <c r="I22" s="19" t="n">
        <v>-0.007160395917150342</v>
      </c>
      <c r="J22" s="19" t="n">
        <v>0.01188324592375611</v>
      </c>
      <c r="K22" s="19" t="n">
        <v>0.006356424367389923</v>
      </c>
      <c r="L22" s="19" t="n">
        <v>0.002114411163014251</v>
      </c>
      <c r="M22" s="20">
        <f>SUMPRODUCT($B$3:$K$3,B22:K22)</f>
        <v/>
      </c>
      <c r="N22" s="21">
        <f>N21*(1+M22)</f>
        <v/>
      </c>
      <c r="O22" s="21">
        <f>MAX(O21,N22)</f>
        <v/>
      </c>
      <c r="P22" s="20">
        <f>N22/O22-1</f>
        <v/>
      </c>
    </row>
    <row r="23">
      <c r="A23" s="18" t="inlineStr">
        <is>
          <t>2024-01-23</t>
        </is>
      </c>
      <c r="B23" s="19" t="n">
        <v>0.006653325073366467</v>
      </c>
      <c r="C23" s="19" t="n">
        <v>0.006027627615730058</v>
      </c>
      <c r="D23" s="19" t="n">
        <v>-0.006583951478831951</v>
      </c>
      <c r="E23" s="19" t="n">
        <v>-0.01637216367922523</v>
      </c>
      <c r="F23" s="19" t="n">
        <v>0.01125791758814487</v>
      </c>
      <c r="G23" s="19" t="n">
        <v>0.04139042666487569</v>
      </c>
      <c r="H23" s="19" t="n">
        <v>0.008011406531487353</v>
      </c>
      <c r="I23" s="19" t="n">
        <v>0.009322814927505529</v>
      </c>
      <c r="J23" s="19" t="n">
        <v>0.0005540600568778586</v>
      </c>
      <c r="K23" s="19" t="n">
        <v>0.06695313250083235</v>
      </c>
      <c r="L23" s="19" t="n">
        <v>0.002916484486888082</v>
      </c>
      <c r="M23" s="20">
        <f>SUMPRODUCT($B$3:$K$3,B23:K23)</f>
        <v/>
      </c>
      <c r="N23" s="21">
        <f>N22*(1+M23)</f>
        <v/>
      </c>
      <c r="O23" s="21">
        <f>MAX(O22,N23)</f>
        <v/>
      </c>
      <c r="P23" s="20">
        <f>N23/O23-1</f>
        <v/>
      </c>
    </row>
    <row r="24">
      <c r="A24" s="18" t="inlineStr">
        <is>
          <t>2024-01-24</t>
        </is>
      </c>
      <c r="B24" s="19" t="n">
        <v>-0.003483986662601302</v>
      </c>
      <c r="C24" s="19" t="n">
        <v>0.009175151368158163</v>
      </c>
      <c r="D24" s="19" t="n">
        <v>0.008935338059665954</v>
      </c>
      <c r="E24" s="19" t="n">
        <v>-0.005319021093815213</v>
      </c>
      <c r="F24" s="19" t="n">
        <v>0.01726073900654512</v>
      </c>
      <c r="G24" s="19" t="n">
        <v>-0.01207944410433603</v>
      </c>
      <c r="H24" s="19" t="n">
        <v>0.005447960655367012</v>
      </c>
      <c r="I24" s="19" t="n">
        <v>-0.006448231613247479</v>
      </c>
      <c r="J24" s="19" t="n">
        <v>0.006405268360783589</v>
      </c>
      <c r="K24" s="19" t="n">
        <v>-0.02249603014673962</v>
      </c>
      <c r="L24" s="19" t="n">
        <v>0.001093247534083019</v>
      </c>
      <c r="M24" s="20">
        <f>SUMPRODUCT($B$3:$K$3,B24:K24)</f>
        <v/>
      </c>
      <c r="N24" s="21">
        <f>N23*(1+M24)</f>
        <v/>
      </c>
      <c r="O24" s="21">
        <f>MAX(O23,N24)</f>
        <v/>
      </c>
      <c r="P24" s="20">
        <f>N24/O24-1</f>
        <v/>
      </c>
    </row>
    <row r="25">
      <c r="A25" s="18" t="inlineStr">
        <is>
          <t>2024-01-25</t>
        </is>
      </c>
      <c r="B25" s="19" t="n">
        <v>-0.0016965479596599</v>
      </c>
      <c r="C25" s="19" t="n">
        <v>0.005738439016677699</v>
      </c>
      <c r="D25" s="19" t="n">
        <v>0.01431100910482797</v>
      </c>
      <c r="E25" s="19" t="n">
        <v>0.003774595328702279</v>
      </c>
      <c r="F25" s="19" t="n">
        <v>0.02540161479408365</v>
      </c>
      <c r="G25" s="19" t="n">
        <v>0.02300825383213634</v>
      </c>
      <c r="H25" s="19" t="n">
        <v>0.005609771850602074</v>
      </c>
      <c r="I25" s="19" t="n">
        <v>0.01701464102985684</v>
      </c>
      <c r="J25" s="19" t="n">
        <v>0.03471137437176153</v>
      </c>
      <c r="K25" s="19" t="n">
        <v>0.02446717812923516</v>
      </c>
      <c r="L25" s="19" t="n">
        <v>0.005438776494751218</v>
      </c>
      <c r="M25" s="20">
        <f>SUMPRODUCT($B$3:$K$3,B25:K25)</f>
        <v/>
      </c>
      <c r="N25" s="21">
        <f>N24*(1+M25)</f>
        <v/>
      </c>
      <c r="O25" s="21">
        <f>MAX(O24,N25)</f>
        <v/>
      </c>
      <c r="P25" s="20">
        <f>N25/O25-1</f>
        <v/>
      </c>
    </row>
    <row r="26">
      <c r="A26" s="18" t="inlineStr">
        <is>
          <t>2024-01-26</t>
        </is>
      </c>
      <c r="B26" s="19" t="n">
        <v>-0.009012751818466835</v>
      </c>
      <c r="C26" s="19" t="n">
        <v>-0.0023218032017156</v>
      </c>
      <c r="D26" s="19" t="n">
        <v>-0.003816394969447967</v>
      </c>
      <c r="E26" s="19" t="n">
        <v>-0.0003761641096254875</v>
      </c>
      <c r="F26" s="19" t="n">
        <v>0.008518596913336118</v>
      </c>
      <c r="G26" s="19" t="n">
        <v>0.003341490944129832</v>
      </c>
      <c r="H26" s="19" t="n">
        <v>0.008684596622424712</v>
      </c>
      <c r="I26" s="19" t="n">
        <v>0.008623653537354725</v>
      </c>
      <c r="J26" s="19" t="n">
        <v>-0.004455070536608097</v>
      </c>
      <c r="K26" s="19" t="n">
        <v>0.00260100067574176</v>
      </c>
      <c r="L26" s="19" t="n">
        <v>-0.001270453474331523</v>
      </c>
      <c r="M26" s="20">
        <f>SUMPRODUCT($B$3:$K$3,B26:K26)</f>
        <v/>
      </c>
      <c r="N26" s="21">
        <f>N25*(1+M26)</f>
        <v/>
      </c>
      <c r="O26" s="21">
        <f>MAX(O25,N26)</f>
        <v/>
      </c>
      <c r="P26" s="20">
        <f>N26/O26-1</f>
        <v/>
      </c>
    </row>
    <row r="27">
      <c r="A27" s="18" t="inlineStr">
        <is>
          <t>2024-01-29</t>
        </is>
      </c>
      <c r="B27" s="19" t="n">
        <v>-0.003585891677416297</v>
      </c>
      <c r="C27" s="19" t="n">
        <v>0.01433432356064501</v>
      </c>
      <c r="D27" s="19" t="n">
        <v>0.002612225832967274</v>
      </c>
      <c r="E27" s="19" t="n">
        <v>-0.0008776675870187933</v>
      </c>
      <c r="F27" s="19" t="n">
        <v>0.001262022935282214</v>
      </c>
      <c r="G27" s="19" t="n">
        <v>0.0001280346349352701</v>
      </c>
      <c r="H27" s="19" t="n">
        <v>0.01344896590822775</v>
      </c>
      <c r="I27" s="19" t="n">
        <v>0.01863889073192215</v>
      </c>
      <c r="J27" s="19" t="n">
        <v>0.01275749133901027</v>
      </c>
      <c r="K27" s="19" t="n">
        <v>-0.008254826668768533</v>
      </c>
      <c r="L27" s="19" t="n">
        <v>0.007919381580072882</v>
      </c>
      <c r="M27" s="20">
        <f>SUMPRODUCT($B$3:$K$3,B27:K27)</f>
        <v/>
      </c>
      <c r="N27" s="21">
        <f>N26*(1+M27)</f>
        <v/>
      </c>
      <c r="O27" s="21">
        <f>MAX(O26,N27)</f>
        <v/>
      </c>
      <c r="P27" s="20">
        <f>N27/O27-1</f>
        <v/>
      </c>
    </row>
    <row r="28">
      <c r="A28" s="18" t="inlineStr">
        <is>
          <t>2024-01-30</t>
        </is>
      </c>
      <c r="B28" s="19" t="n">
        <v>-0.01924588879279565</v>
      </c>
      <c r="C28" s="19" t="n">
        <v>-0.002757990691115819</v>
      </c>
      <c r="D28" s="19" t="n">
        <v>0.02049423190666921</v>
      </c>
      <c r="E28" s="19" t="n">
        <v>-0.003702227532759617</v>
      </c>
      <c r="F28" s="19" t="n">
        <v>0.01667799410703452</v>
      </c>
      <c r="G28" s="19" t="n">
        <v>0.008516972337199613</v>
      </c>
      <c r="H28" s="19" t="n">
        <v>-0.01401460116470565</v>
      </c>
      <c r="I28" s="19" t="n">
        <v>-0.00486819297726393</v>
      </c>
      <c r="J28" s="19" t="n">
        <v>0.004979632320480931</v>
      </c>
      <c r="K28" s="19" t="n">
        <v>0.009988350040581295</v>
      </c>
      <c r="L28" s="19" t="n">
        <v>-0.0007734241306917022</v>
      </c>
      <c r="M28" s="20">
        <f>SUMPRODUCT($B$3:$K$3,B28:K28)</f>
        <v/>
      </c>
      <c r="N28" s="21">
        <f>N27*(1+M28)</f>
        <v/>
      </c>
      <c r="O28" s="21">
        <f>MAX(O27,N28)</f>
        <v/>
      </c>
      <c r="P28" s="20">
        <f>N28/O28-1</f>
        <v/>
      </c>
    </row>
    <row r="29">
      <c r="A29" s="18" t="inlineStr">
        <is>
          <t>2024-01-31</t>
        </is>
      </c>
      <c r="B29" s="19" t="n">
        <v>-0.01935752375614319</v>
      </c>
      <c r="C29" s="19" t="n">
        <v>-0.0269464314225617</v>
      </c>
      <c r="D29" s="19" t="n">
        <v>-0.0108356739375548</v>
      </c>
      <c r="E29" s="19" t="n">
        <v>0.0008188872125367563</v>
      </c>
      <c r="F29" s="19" t="n">
        <v>-0.01945636478034174</v>
      </c>
      <c r="G29" s="19" t="n">
        <v>-0.002222538587177358</v>
      </c>
      <c r="H29" s="19" t="n">
        <v>-0.02389939026262777</v>
      </c>
      <c r="I29" s="19" t="n">
        <v>-0.01096511550012835</v>
      </c>
      <c r="J29" s="19" t="n">
        <v>-0.0146017472574016</v>
      </c>
      <c r="K29" s="19" t="n">
        <v>-0.002825621520921584</v>
      </c>
      <c r="L29" s="19" t="n">
        <v>-0.01631733238981647</v>
      </c>
      <c r="M29" s="20">
        <f>SUMPRODUCT($B$3:$K$3,B29:K29)</f>
        <v/>
      </c>
      <c r="N29" s="21">
        <f>N28*(1+M29)</f>
        <v/>
      </c>
      <c r="O29" s="21">
        <f>MAX(O28,N29)</f>
        <v/>
      </c>
      <c r="P29" s="20">
        <f>N29/O29-1</f>
        <v/>
      </c>
    </row>
    <row r="30">
      <c r="A30" s="18" t="inlineStr">
        <is>
          <t>2024-02-01</t>
        </is>
      </c>
      <c r="B30" s="19" t="n">
        <v>0.01334075533371815</v>
      </c>
      <c r="C30" s="19" t="n">
        <v>0.01559426469358094</v>
      </c>
      <c r="D30" s="19" t="n">
        <v>-0.003613212500630625</v>
      </c>
      <c r="E30" s="19" t="n">
        <v>-0.003398397178203671</v>
      </c>
      <c r="F30" s="19" t="n">
        <v>-0.004085214954613337</v>
      </c>
      <c r="G30" s="19" t="n">
        <v>0.0129819269950926</v>
      </c>
      <c r="H30" s="19" t="n">
        <v>0.02628867210877162</v>
      </c>
      <c r="I30" s="19" t="n">
        <v>0.01910293389490381</v>
      </c>
      <c r="J30" s="19" t="n">
        <v>0.0245744753320547</v>
      </c>
      <c r="K30" s="19" t="n">
        <v>0.003305722887572804</v>
      </c>
      <c r="L30" s="19" t="n">
        <v>0.01308817726383138</v>
      </c>
      <c r="M30" s="20">
        <f>SUMPRODUCT($B$3:$K$3,B30:K30)</f>
        <v/>
      </c>
      <c r="N30" s="21">
        <f>N29*(1+M30)</f>
        <v/>
      </c>
      <c r="O30" s="21">
        <f>MAX(O29,N30)</f>
        <v/>
      </c>
      <c r="P30" s="20">
        <f>N30/O30-1</f>
        <v/>
      </c>
    </row>
    <row r="31">
      <c r="A31" s="18" t="inlineStr">
        <is>
          <t>2024-02-02</t>
        </is>
      </c>
      <c r="B31" s="19" t="n">
        <v>-0.005405189610199868</v>
      </c>
      <c r="C31" s="19" t="n">
        <v>0.01842602814265093</v>
      </c>
      <c r="D31" s="19" t="n">
        <v>0.005755951471283716</v>
      </c>
      <c r="E31" s="19" t="n">
        <v>-0.01105075609285888</v>
      </c>
      <c r="F31" s="19" t="n">
        <v>-0.004101890908231764</v>
      </c>
      <c r="G31" s="19" t="n">
        <v>-0.00684749503276183</v>
      </c>
      <c r="H31" s="19" t="n">
        <v>0.07866649218561839</v>
      </c>
      <c r="I31" s="19" t="n">
        <v>-0.02677824163501008</v>
      </c>
      <c r="J31" s="19" t="n">
        <v>0.02405031325409812</v>
      </c>
      <c r="K31" s="19" t="n">
        <v>-0.008472558720133305</v>
      </c>
      <c r="L31" s="19" t="n">
        <v>0.01052741032071225</v>
      </c>
      <c r="M31" s="20">
        <f>SUMPRODUCT($B$3:$K$3,B31:K31)</f>
        <v/>
      </c>
      <c r="N31" s="21">
        <f>N30*(1+M31)</f>
        <v/>
      </c>
      <c r="O31" s="21">
        <f>MAX(O30,N31)</f>
        <v/>
      </c>
      <c r="P31" s="20">
        <f>N31/O31-1</f>
        <v/>
      </c>
    </row>
    <row r="32">
      <c r="A32" s="18" t="inlineStr">
        <is>
          <t>2024-02-05</t>
        </is>
      </c>
      <c r="B32" s="19" t="n">
        <v>0.009846538270943395</v>
      </c>
      <c r="C32" s="19" t="n">
        <v>-0.01354508280439293</v>
      </c>
      <c r="D32" s="19" t="n">
        <v>-0.001316099970585571</v>
      </c>
      <c r="E32" s="19" t="n">
        <v>-0.005172239752017083</v>
      </c>
      <c r="F32" s="19" t="n">
        <v>-0.004118785717920903</v>
      </c>
      <c r="G32" s="19" t="n">
        <v>0.0007593511745447312</v>
      </c>
      <c r="H32" s="19" t="n">
        <v>-0.008730574595861018</v>
      </c>
      <c r="I32" s="19" t="n">
        <v>-0.03748926288338383</v>
      </c>
      <c r="J32" s="19" t="n">
        <v>0.02002599838375452</v>
      </c>
      <c r="K32" s="19" t="n">
        <v>-0.01780212569983208</v>
      </c>
      <c r="L32" s="19" t="n">
        <v>-0.003641184748718551</v>
      </c>
      <c r="M32" s="20">
        <f>SUMPRODUCT($B$3:$K$3,B32:K32)</f>
        <v/>
      </c>
      <c r="N32" s="21">
        <f>N31*(1+M32)</f>
        <v/>
      </c>
      <c r="O32" s="21">
        <f>MAX(O31,N32)</f>
        <v/>
      </c>
      <c r="P32" s="20">
        <f>N32/O32-1</f>
        <v/>
      </c>
    </row>
    <row r="33">
      <c r="A33" s="18" t="inlineStr">
        <is>
          <t>2024-02-06</t>
        </is>
      </c>
      <c r="B33" s="19" t="n">
        <v>0.008631833311827375</v>
      </c>
      <c r="C33" s="19" t="n">
        <v>-0.0003945599745760475</v>
      </c>
      <c r="D33" s="19" t="n">
        <v>0.003438349680623398</v>
      </c>
      <c r="E33" s="19" t="n">
        <v>0.01450578471822883</v>
      </c>
      <c r="F33" s="19" t="n">
        <v>0.006893006405883639</v>
      </c>
      <c r="G33" s="19" t="n">
        <v>0.004740437007812792</v>
      </c>
      <c r="H33" s="19" t="n">
        <v>-0.00681113075414308</v>
      </c>
      <c r="I33" s="19" t="n">
        <v>0.00464534374021186</v>
      </c>
      <c r="J33" s="19" t="n">
        <v>0.004107123977534322</v>
      </c>
      <c r="K33" s="19" t="n">
        <v>-0.006766535895097014</v>
      </c>
      <c r="L33" s="19" t="n">
        <v>0.002903360796087107</v>
      </c>
      <c r="M33" s="20">
        <f>SUMPRODUCT($B$3:$K$3,B33:K33)</f>
        <v/>
      </c>
      <c r="N33" s="21">
        <f>N32*(1+M33)</f>
        <v/>
      </c>
      <c r="O33" s="21">
        <f>MAX(O32,N33)</f>
        <v/>
      </c>
      <c r="P33" s="20">
        <f>N33/O33-1</f>
        <v/>
      </c>
    </row>
    <row r="34">
      <c r="A34" s="18" t="inlineStr">
        <is>
          <t>2024-02-07</t>
        </is>
      </c>
      <c r="B34" s="19" t="n">
        <v>0.0005810775782624233</v>
      </c>
      <c r="C34" s="19" t="n">
        <v>0.02111025728162108</v>
      </c>
      <c r="D34" s="19" t="n">
        <v>0.001884658288244356</v>
      </c>
      <c r="E34" s="19" t="n">
        <v>-0.0005061381109378038</v>
      </c>
      <c r="F34" s="19" t="n">
        <v>-0.0002932593194898692</v>
      </c>
      <c r="G34" s="19" t="n">
        <v>0.001006516403847746</v>
      </c>
      <c r="H34" s="19" t="n">
        <v>0.008158468416245013</v>
      </c>
      <c r="I34" s="19" t="n">
        <v>0.002667766809049565</v>
      </c>
      <c r="J34" s="19" t="n">
        <v>0.002695822442194462</v>
      </c>
      <c r="K34" s="19" t="n">
        <v>-0.01654507715484044</v>
      </c>
      <c r="L34" s="19" t="n">
        <v>0.008340279631984915</v>
      </c>
      <c r="M34" s="20">
        <f>SUMPRODUCT($B$3:$K$3,B34:K34)</f>
        <v/>
      </c>
      <c r="N34" s="21">
        <f>N33*(1+M34)</f>
        <v/>
      </c>
      <c r="O34" s="21">
        <f>MAX(O33,N34)</f>
        <v/>
      </c>
      <c r="P34" s="20">
        <f>N34/O34-1</f>
        <v/>
      </c>
    </row>
    <row r="35">
      <c r="A35" s="18" t="inlineStr">
        <is>
          <t>2024-02-08</t>
        </is>
      </c>
      <c r="B35" s="19" t="n">
        <v>-0.005754725281463813</v>
      </c>
      <c r="C35" s="19" t="n">
        <v>0.0001450617939151577</v>
      </c>
      <c r="D35" s="19" t="n">
        <v>-0.003591357458501809</v>
      </c>
      <c r="E35" s="19" t="n">
        <v>-0.0100013158115787</v>
      </c>
      <c r="F35" s="19" t="n">
        <v>0.01711989229965205</v>
      </c>
      <c r="G35" s="19" t="n">
        <v>-0.003016820472691584</v>
      </c>
      <c r="H35" s="19" t="n">
        <v>-0.004046223223746481</v>
      </c>
      <c r="I35" s="19" t="n">
        <v>-0.001596445280790615</v>
      </c>
      <c r="J35" s="19" t="n">
        <v>-0.004913759588640265</v>
      </c>
      <c r="K35" s="19" t="n">
        <v>-0.01261728865371947</v>
      </c>
      <c r="L35" s="19" t="n">
        <v>0.0004417085496768447</v>
      </c>
      <c r="M35" s="20">
        <f>SUMPRODUCT($B$3:$K$3,B35:K35)</f>
        <v/>
      </c>
      <c r="N35" s="21">
        <f>N34*(1+M35)</f>
        <v/>
      </c>
      <c r="O35" s="21">
        <f>MAX(O34,N35)</f>
        <v/>
      </c>
      <c r="P35" s="20">
        <f>N35/O35-1</f>
        <v/>
      </c>
    </row>
    <row r="36">
      <c r="A36" s="18" t="inlineStr">
        <is>
          <t>2024-02-09</t>
        </is>
      </c>
      <c r="B36" s="19" t="n">
        <v>0.004093959142586368</v>
      </c>
      <c r="C36" s="19" t="n">
        <v>0.01555134943222991</v>
      </c>
      <c r="D36" s="19" t="n">
        <v>0.00120140326550966</v>
      </c>
      <c r="E36" s="19" t="n">
        <v>0.002302059363429532</v>
      </c>
      <c r="F36" s="19" t="n">
        <v>-0.02116001900249709</v>
      </c>
      <c r="G36" s="19" t="n">
        <v>-0.007690324692090966</v>
      </c>
      <c r="H36" s="19" t="n">
        <v>0.02714319777292107</v>
      </c>
      <c r="I36" s="19" t="n">
        <v>0.005151861452214135</v>
      </c>
      <c r="J36" s="19" t="n">
        <v>-0.01503100275862879</v>
      </c>
      <c r="K36" s="19" t="n">
        <v>-0.004760838758494756</v>
      </c>
      <c r="L36" s="19" t="n">
        <v>0.005779393758474916</v>
      </c>
      <c r="M36" s="20">
        <f>SUMPRODUCT($B$3:$K$3,B36:K36)</f>
        <v/>
      </c>
      <c r="N36" s="21">
        <f>N35*(1+M36)</f>
        <v/>
      </c>
      <c r="O36" s="21">
        <f>MAX(O35,N36)</f>
        <v/>
      </c>
      <c r="P36" s="20">
        <f>N36/O36-1</f>
        <v/>
      </c>
    </row>
    <row r="37">
      <c r="A37" s="18" t="inlineStr">
        <is>
          <t>2024-02-12</t>
        </is>
      </c>
      <c r="B37" s="19" t="n">
        <v>-0.009002038306771931</v>
      </c>
      <c r="C37" s="19" t="n">
        <v>-0.01257873335144211</v>
      </c>
      <c r="D37" s="19" t="n">
        <v>0.004456921570530126</v>
      </c>
      <c r="E37" s="19" t="n">
        <v>0.00695320110042319</v>
      </c>
      <c r="F37" s="19" t="n">
        <v>0.01375654071042431</v>
      </c>
      <c r="G37" s="19" t="n">
        <v>-0.001969229430610842</v>
      </c>
      <c r="H37" s="19" t="n">
        <v>-0.01209515991552346</v>
      </c>
      <c r="I37" s="19" t="n">
        <v>0.01714395003422653</v>
      </c>
      <c r="J37" s="19" t="n">
        <v>0.01409387601964873</v>
      </c>
      <c r="K37" s="19" t="n">
        <v>0.009566999359583939</v>
      </c>
      <c r="L37" s="19" t="n">
        <v>-0.0004387878664402489</v>
      </c>
      <c r="M37" s="20">
        <f>SUMPRODUCT($B$3:$K$3,B37:K37)</f>
        <v/>
      </c>
      <c r="N37" s="21">
        <f>N36*(1+M37)</f>
        <v/>
      </c>
      <c r="O37" s="21">
        <f>MAX(O36,N37)</f>
        <v/>
      </c>
      <c r="P37" s="20">
        <f>N37/O37-1</f>
        <v/>
      </c>
    </row>
    <row r="38">
      <c r="A38" s="18" t="inlineStr">
        <is>
          <t>2024-02-13</t>
        </is>
      </c>
      <c r="B38" s="19" t="n">
        <v>-0.01127432076027346</v>
      </c>
      <c r="C38" s="19" t="n">
        <v>-0.02152863178475162</v>
      </c>
      <c r="D38" s="19" t="n">
        <v>-0.00870358945535743</v>
      </c>
      <c r="E38" s="19" t="n">
        <v>-0.008742575103226402</v>
      </c>
      <c r="F38" s="19" t="n">
        <v>-0.008609020774834386</v>
      </c>
      <c r="G38" s="19" t="n">
        <v>-0.00534643470863938</v>
      </c>
      <c r="H38" s="19" t="n">
        <v>-0.02146917156124317</v>
      </c>
      <c r="I38" s="19" t="n">
        <v>-0.03996528876410266</v>
      </c>
      <c r="J38" s="19" t="n">
        <v>-0.02732958931768692</v>
      </c>
      <c r="K38" s="19" t="n">
        <v>0.0007481556266757394</v>
      </c>
      <c r="L38" s="19" t="n">
        <v>-0.01377315428616499</v>
      </c>
      <c r="M38" s="20">
        <f>SUMPRODUCT($B$3:$K$3,B38:K38)</f>
        <v/>
      </c>
      <c r="N38" s="21">
        <f>N37*(1+M38)</f>
        <v/>
      </c>
      <c r="O38" s="21">
        <f>MAX(O37,N38)</f>
        <v/>
      </c>
      <c r="P38" s="20">
        <f>N38/O38-1</f>
        <v/>
      </c>
    </row>
    <row r="39">
      <c r="A39" s="18" t="inlineStr">
        <is>
          <t>2024-02-14</t>
        </is>
      </c>
      <c r="B39" s="19" t="n">
        <v>-0.004809684958424487</v>
      </c>
      <c r="C39" s="19" t="n">
        <v>0.009665392604506939</v>
      </c>
      <c r="D39" s="19" t="n">
        <v>0.01015733360649151</v>
      </c>
      <c r="E39" s="19" t="n">
        <v>-0.004665376224775808</v>
      </c>
      <c r="F39" s="19" t="n">
        <v>-0.004933854455820952</v>
      </c>
      <c r="G39" s="19" t="n">
        <v>-0.004095578382274701</v>
      </c>
      <c r="H39" s="19" t="n">
        <v>0.01387568990962795</v>
      </c>
      <c r="I39" s="19" t="n">
        <v>0.0137555693000273</v>
      </c>
      <c r="J39" s="19" t="n">
        <v>0.01237054172116925</v>
      </c>
      <c r="K39" s="19" t="n">
        <v>0.0004984348496512858</v>
      </c>
      <c r="L39" s="19" t="n">
        <v>0.00908758864746062</v>
      </c>
      <c r="M39" s="20">
        <f>SUMPRODUCT($B$3:$K$3,B39:K39)</f>
        <v/>
      </c>
      <c r="N39" s="21">
        <f>N38*(1+M39)</f>
        <v/>
      </c>
      <c r="O39" s="21">
        <f>MAX(O38,N39)</f>
        <v/>
      </c>
      <c r="P39" s="20">
        <f>N39/O39-1</f>
        <v/>
      </c>
    </row>
    <row r="40">
      <c r="A40" s="18" t="inlineStr">
        <is>
          <t>2024-02-15</t>
        </is>
      </c>
      <c r="B40" s="19" t="n">
        <v>-0.001574762652694406</v>
      </c>
      <c r="C40" s="19" t="n">
        <v>-0.007155375873196146</v>
      </c>
      <c r="D40" s="19" t="n">
        <v>0.0218143575208265</v>
      </c>
      <c r="E40" s="19" t="n">
        <v>0.01399780006596418</v>
      </c>
      <c r="F40" s="19" t="n">
        <v>0.02865946376386397</v>
      </c>
      <c r="G40" s="19" t="n">
        <v>0.008867427696826136</v>
      </c>
      <c r="H40" s="19" t="n">
        <v>-0.006901349311422389</v>
      </c>
      <c r="I40" s="19" t="n">
        <v>0.02249603717284399</v>
      </c>
      <c r="J40" s="19" t="n">
        <v>0.02008141609584735</v>
      </c>
      <c r="K40" s="19" t="n">
        <v>0.01095876127534412</v>
      </c>
      <c r="L40" s="19" t="n">
        <v>0.006899670102352484</v>
      </c>
      <c r="M40" s="20">
        <f>SUMPRODUCT($B$3:$K$3,B40:K40)</f>
        <v/>
      </c>
      <c r="N40" s="21">
        <f>N39*(1+M40)</f>
        <v/>
      </c>
      <c r="O40" s="21">
        <f>MAX(O39,N40)</f>
        <v/>
      </c>
      <c r="P40" s="20">
        <f>N40/O40-1</f>
        <v/>
      </c>
    </row>
    <row r="41">
      <c r="A41" s="18" t="inlineStr">
        <is>
          <t>2024-02-16</t>
        </is>
      </c>
      <c r="B41" s="19" t="n">
        <v>-0.008430214437560091</v>
      </c>
      <c r="C41" s="19" t="n">
        <v>-0.006149077890845289</v>
      </c>
      <c r="D41" s="19" t="n">
        <v>-0.004669888761467011</v>
      </c>
      <c r="E41" s="19" t="n">
        <v>-0.001148562480577597</v>
      </c>
      <c r="F41" s="19" t="n">
        <v>0</v>
      </c>
      <c r="G41" s="19" t="n">
        <v>0.003184167976180818</v>
      </c>
      <c r="H41" s="19" t="n">
        <v>-0.001707941929974366</v>
      </c>
      <c r="I41" s="19" t="n">
        <v>-0.004190740673326809</v>
      </c>
      <c r="J41" s="19" t="n">
        <v>-0.003590438830870846</v>
      </c>
      <c r="K41" s="19" t="n">
        <v>-0.00246348839296473</v>
      </c>
      <c r="L41" s="19" t="n">
        <v>-0.0049797844769921</v>
      </c>
      <c r="M41" s="20">
        <f>SUMPRODUCT($B$3:$K$3,B41:K41)</f>
        <v/>
      </c>
      <c r="N41" s="21">
        <f>N40*(1+M41)</f>
        <v/>
      </c>
      <c r="O41" s="21">
        <f>MAX(O40,N41)</f>
        <v/>
      </c>
      <c r="P41" s="20">
        <f>N41/O41-1</f>
        <v/>
      </c>
    </row>
    <row r="42">
      <c r="A42" s="18" t="inlineStr">
        <is>
          <t>2024-02-20</t>
        </is>
      </c>
      <c r="B42" s="19" t="n">
        <v>-0.004113961027066404</v>
      </c>
      <c r="C42" s="19" t="n">
        <v>-0.003142955303493622</v>
      </c>
      <c r="D42" s="19" t="n">
        <v>0.003909877362719083</v>
      </c>
      <c r="E42" s="19" t="n">
        <v>0.008367822165333605</v>
      </c>
      <c r="F42" s="19" t="n">
        <v>-0.009447733203084674</v>
      </c>
      <c r="G42" s="19" t="n">
        <v>0.006348950660118868</v>
      </c>
      <c r="H42" s="19" t="n">
        <v>-0.01433539469369316</v>
      </c>
      <c r="I42" s="19" t="n">
        <v>-0.007364441957038892</v>
      </c>
      <c r="J42" s="19" t="n">
        <v>-0.02537972101665742</v>
      </c>
      <c r="K42" s="19" t="n">
        <v>0.0002469461218144176</v>
      </c>
      <c r="L42" s="19" t="n">
        <v>-0.005505486684568517</v>
      </c>
      <c r="M42" s="20">
        <f>SUMPRODUCT($B$3:$K$3,B42:K42)</f>
        <v/>
      </c>
      <c r="N42" s="21">
        <f>N41*(1+M42)</f>
        <v/>
      </c>
      <c r="O42" s="21">
        <f>MAX(O41,N42)</f>
        <v/>
      </c>
      <c r="P42" s="20">
        <f>N42/O42-1</f>
        <v/>
      </c>
    </row>
    <row r="43">
      <c r="A43" s="18" t="inlineStr">
        <is>
          <t>2024-02-21</t>
        </is>
      </c>
      <c r="B43" s="19" t="n">
        <v>0.004185924012777731</v>
      </c>
      <c r="C43" s="19" t="n">
        <v>-0.001514601588875508</v>
      </c>
      <c r="D43" s="19" t="n">
        <v>0.006509812946220883</v>
      </c>
      <c r="E43" s="19" t="n">
        <v>0.005194598993374155</v>
      </c>
      <c r="F43" s="19" t="n">
        <v>0.02043790429218695</v>
      </c>
      <c r="G43" s="19" t="n">
        <v>0.01192351266248926</v>
      </c>
      <c r="H43" s="19" t="n">
        <v>0.00903755380828164</v>
      </c>
      <c r="I43" s="19" t="n">
        <v>0.008655665630222575</v>
      </c>
      <c r="J43" s="19" t="n">
        <v>0.01083693963506538</v>
      </c>
      <c r="K43" s="19" t="n">
        <v>0.01481466200579429</v>
      </c>
      <c r="L43" s="19" t="n">
        <v>0.0009057848034978999</v>
      </c>
      <c r="M43" s="20">
        <f>SUMPRODUCT($B$3:$K$3,B43:K43)</f>
        <v/>
      </c>
      <c r="N43" s="21">
        <f>N42*(1+M43)</f>
        <v/>
      </c>
      <c r="O43" s="21">
        <f>MAX(O42,N43)</f>
        <v/>
      </c>
      <c r="P43" s="20">
        <f>N43/O43-1</f>
        <v/>
      </c>
    </row>
    <row r="44">
      <c r="A44" s="18" t="inlineStr">
        <is>
          <t>2024-02-22</t>
        </is>
      </c>
      <c r="B44" s="19" t="n">
        <v>0.01124396874024391</v>
      </c>
      <c r="C44" s="19" t="n">
        <v>0.02354670794451619</v>
      </c>
      <c r="D44" s="19" t="n">
        <v>0.01199570028359576</v>
      </c>
      <c r="E44" s="19" t="n">
        <v>0.01115446041288837</v>
      </c>
      <c r="F44" s="19" t="n">
        <v>-0.0008583399309954887</v>
      </c>
      <c r="G44" s="19" t="n">
        <v>0.0009975821366008386</v>
      </c>
      <c r="H44" s="19" t="n">
        <v>0.0355300173395745</v>
      </c>
      <c r="I44" s="19" t="n">
        <v>-0.007530583623490683</v>
      </c>
      <c r="J44" s="19" t="n">
        <v>0.0156082258287189</v>
      </c>
      <c r="K44" s="19" t="n">
        <v>-0.009002490952918496</v>
      </c>
      <c r="L44" s="19" t="n">
        <v>0.02069560167438511</v>
      </c>
      <c r="M44" s="20">
        <f>SUMPRODUCT($B$3:$K$3,B44:K44)</f>
        <v/>
      </c>
      <c r="N44" s="21">
        <f>N43*(1+M44)</f>
        <v/>
      </c>
      <c r="O44" s="21">
        <f>MAX(O43,N44)</f>
        <v/>
      </c>
      <c r="P44" s="20">
        <f>N44/O44-1</f>
        <v/>
      </c>
    </row>
    <row r="45">
      <c r="A45" s="18" t="inlineStr">
        <is>
          <t>2024-02-23</t>
        </is>
      </c>
      <c r="B45" s="19" t="n">
        <v>-0.01003416001746904</v>
      </c>
      <c r="C45" s="19" t="n">
        <v>-0.003182425104971687</v>
      </c>
      <c r="D45" s="19" t="n">
        <v>0.005025274385972223</v>
      </c>
      <c r="E45" s="19" t="n">
        <v>0.008663145367928005</v>
      </c>
      <c r="F45" s="19" t="n">
        <v>-0.008781968514070759</v>
      </c>
      <c r="G45" s="19" t="n">
        <v>0.002927305748371856</v>
      </c>
      <c r="H45" s="19" t="n">
        <v>0.002348514479374009</v>
      </c>
      <c r="I45" s="19" t="n">
        <v>0.001940982766049704</v>
      </c>
      <c r="J45" s="19" t="n">
        <v>0.00555750417201839</v>
      </c>
      <c r="K45" s="19" t="n">
        <v>-0.001718437415219598</v>
      </c>
      <c r="L45" s="19" t="n">
        <v>0.0006896316596884944</v>
      </c>
      <c r="M45" s="20">
        <f>SUMPRODUCT($B$3:$K$3,B45:K45)</f>
        <v/>
      </c>
      <c r="N45" s="21">
        <f>N44*(1+M45)</f>
        <v/>
      </c>
      <c r="O45" s="21">
        <f>MAX(O44,N45)</f>
        <v/>
      </c>
      <c r="P45" s="20">
        <f>N45/O45-1</f>
        <v/>
      </c>
    </row>
    <row r="46">
      <c r="A46" s="18" t="inlineStr">
        <is>
          <t>2024-02-26</t>
        </is>
      </c>
      <c r="B46" s="19" t="n">
        <v>-0.007451340512798499</v>
      </c>
      <c r="C46" s="19" t="n">
        <v>-0.006823404194502669</v>
      </c>
      <c r="D46" s="19" t="n">
        <v>-0.003424010093990515</v>
      </c>
      <c r="E46" s="19" t="n">
        <v>-0.006488081747343166</v>
      </c>
      <c r="F46" s="19" t="n">
        <v>0.003948460093398776</v>
      </c>
      <c r="G46" s="19" t="n">
        <v>-0.005030165296244116</v>
      </c>
      <c r="H46" s="19" t="n">
        <v>-0.001485854948642507</v>
      </c>
      <c r="I46" s="19" t="n">
        <v>-0.01981691858113499</v>
      </c>
      <c r="J46" s="19" t="n">
        <v>0.004631399951512627</v>
      </c>
      <c r="K46" s="19" t="n">
        <v>-0.02385638554664082</v>
      </c>
      <c r="L46" s="19" t="n">
        <v>-0.003662613355522093</v>
      </c>
      <c r="M46" s="20">
        <f>SUMPRODUCT($B$3:$K$3,B46:K46)</f>
        <v/>
      </c>
      <c r="N46" s="21">
        <f>N45*(1+M46)</f>
        <v/>
      </c>
      <c r="O46" s="21">
        <f>MAX(O45,N46)</f>
        <v/>
      </c>
      <c r="P46" s="20">
        <f>N46/O46-1</f>
        <v/>
      </c>
    </row>
    <row r="47">
      <c r="A47" s="18" t="inlineStr">
        <is>
          <t>2024-02-27</t>
        </is>
      </c>
      <c r="B47" s="19" t="n">
        <v>0.00811445934498356</v>
      </c>
      <c r="C47" s="19" t="n">
        <v>-0.0001471832687434116</v>
      </c>
      <c r="D47" s="19" t="n">
        <v>0.0004907873014134978</v>
      </c>
      <c r="E47" s="19" t="n">
        <v>0.001181832602645594</v>
      </c>
      <c r="F47" s="19" t="n">
        <v>-0.002110266227533408</v>
      </c>
      <c r="G47" s="19" t="n">
        <v>-0.005742159424841686</v>
      </c>
      <c r="H47" s="19" t="n">
        <v>-0.006810521779339163</v>
      </c>
      <c r="I47" s="19" t="n">
        <v>0.007434330845560666</v>
      </c>
      <c r="J47" s="19" t="n">
        <v>0.006915025018285448</v>
      </c>
      <c r="K47" s="19" t="n">
        <v>0.006046959425469289</v>
      </c>
      <c r="L47" s="19" t="n">
        <v>0.001857752328964013</v>
      </c>
      <c r="M47" s="20">
        <f>SUMPRODUCT($B$3:$K$3,B47:K47)</f>
        <v/>
      </c>
      <c r="N47" s="21">
        <f>N46*(1+M47)</f>
        <v/>
      </c>
      <c r="O47" s="21">
        <f>MAX(O46,N47)</f>
        <v/>
      </c>
      <c r="P47" s="20">
        <f>N47/O47-1</f>
        <v/>
      </c>
    </row>
    <row r="48">
      <c r="A48" s="18" t="inlineStr">
        <is>
          <t>2024-02-28</t>
        </is>
      </c>
      <c r="B48" s="19" t="n">
        <v>-0.006625468220785136</v>
      </c>
      <c r="C48" s="19" t="n">
        <v>0.0005888960904949503</v>
      </c>
      <c r="D48" s="19" t="n">
        <v>0.005069477730974992</v>
      </c>
      <c r="E48" s="19" t="n">
        <v>0.003540906047539538</v>
      </c>
      <c r="F48" s="19" t="n">
        <v>0.002787535742120317</v>
      </c>
      <c r="G48" s="19" t="n">
        <v>0.004708206554700611</v>
      </c>
      <c r="H48" s="19" t="n">
        <v>-0.002189637194447203</v>
      </c>
      <c r="I48" s="19" t="n">
        <v>-0.009359201119167437</v>
      </c>
      <c r="J48" s="19" t="n">
        <v>0.005890610102339489</v>
      </c>
      <c r="K48" s="19" t="n">
        <v>0.004257297589657538</v>
      </c>
      <c r="L48" s="19" t="n">
        <v>-0.00132150338293302</v>
      </c>
      <c r="M48" s="20">
        <f>SUMPRODUCT($B$3:$K$3,B48:K48)</f>
        <v/>
      </c>
      <c r="N48" s="21">
        <f>N47*(1+M48)</f>
        <v/>
      </c>
      <c r="O48" s="21">
        <f>MAX(O47,N48)</f>
        <v/>
      </c>
      <c r="P48" s="20">
        <f>N48/O48-1</f>
        <v/>
      </c>
    </row>
    <row r="49">
      <c r="A49" s="18" t="inlineStr">
        <is>
          <t>2024-02-29</t>
        </is>
      </c>
      <c r="B49" s="19" t="n">
        <v>-0.003692951889851193</v>
      </c>
      <c r="C49" s="19" t="n">
        <v>0.01451984341973733</v>
      </c>
      <c r="D49" s="19" t="n">
        <v>0.009111583736099105</v>
      </c>
      <c r="E49" s="19" t="n">
        <v>-0.001052315717400165</v>
      </c>
      <c r="F49" s="19" t="n">
        <v>0.001917165517455244</v>
      </c>
      <c r="G49" s="19" t="n">
        <v>-0.006935381940132213</v>
      </c>
      <c r="H49" s="19" t="n">
        <v>0.02078996747858297</v>
      </c>
      <c r="I49" s="19" t="n">
        <v>0.002725227264873675</v>
      </c>
      <c r="J49" s="19" t="n">
        <v>0.01335105235208678</v>
      </c>
      <c r="K49" s="19" t="n">
        <v>-0.001995119009840285</v>
      </c>
      <c r="L49" s="19" t="n">
        <v>0.00359486797827735</v>
      </c>
      <c r="M49" s="20">
        <f>SUMPRODUCT($B$3:$K$3,B49:K49)</f>
        <v/>
      </c>
      <c r="N49" s="21">
        <f>N48*(1+M49)</f>
        <v/>
      </c>
      <c r="O49" s="21">
        <f>MAX(O48,N49)</f>
        <v/>
      </c>
      <c r="P49" s="20">
        <f>N49/O49-1</f>
        <v/>
      </c>
    </row>
    <row r="50">
      <c r="A50" s="18" t="inlineStr">
        <is>
          <t>2024-03-01</t>
        </is>
      </c>
      <c r="B50" s="19" t="n">
        <v>-0.006030608414194782</v>
      </c>
      <c r="C50" s="19" t="n">
        <v>0.004496523003773234</v>
      </c>
      <c r="D50" s="19" t="n">
        <v>-0.004138553692036195</v>
      </c>
      <c r="E50" s="19" t="n">
        <v>0.004585249302971883</v>
      </c>
      <c r="F50" s="19" t="n">
        <v>0.01262912783163017</v>
      </c>
      <c r="G50" s="19" t="n">
        <v>-0.0005663136918235834</v>
      </c>
      <c r="H50" s="19" t="n">
        <v>0.008259825521836239</v>
      </c>
      <c r="I50" s="19" t="n">
        <v>0.0003622968551104666</v>
      </c>
      <c r="J50" s="19" t="n">
        <v>0.008204807675426862</v>
      </c>
      <c r="K50" s="19" t="n">
        <v>0.004497907621054287</v>
      </c>
      <c r="L50" s="19" t="n">
        <v>0.009388196326067799</v>
      </c>
      <c r="M50" s="20">
        <f>SUMPRODUCT($B$3:$K$3,B50:K50)</f>
        <v/>
      </c>
      <c r="N50" s="21">
        <f>N49*(1+M50)</f>
        <v/>
      </c>
      <c r="O50" s="21">
        <f>MAX(O49,N50)</f>
        <v/>
      </c>
      <c r="P50" s="20">
        <f>N50/O50-1</f>
        <v/>
      </c>
    </row>
    <row r="51">
      <c r="A51" s="18" t="inlineStr">
        <is>
          <t>2024-03-04</t>
        </is>
      </c>
      <c r="B51" s="19" t="n">
        <v>-0.02538124323712188</v>
      </c>
      <c r="C51" s="19" t="n">
        <v>-0.001395864237414668</v>
      </c>
      <c r="D51" s="19" t="n">
        <v>0.007501670051321296</v>
      </c>
      <c r="E51" s="19" t="n">
        <v>-0.01406352508378284</v>
      </c>
      <c r="F51" s="19" t="n">
        <v>-0.01398315638627345</v>
      </c>
      <c r="G51" s="19" t="n">
        <v>0.004469535589579188</v>
      </c>
      <c r="H51" s="19" t="n">
        <v>-0.003591063770984282</v>
      </c>
      <c r="I51" s="19" t="n">
        <v>-0.004346952904731194</v>
      </c>
      <c r="J51" s="19" t="n">
        <v>0.005791284033272559</v>
      </c>
      <c r="K51" s="19" t="n">
        <v>0.002736450436055415</v>
      </c>
      <c r="L51" s="19" t="n">
        <v>-0.00107248095719481</v>
      </c>
      <c r="M51" s="20">
        <f>SUMPRODUCT($B$3:$K$3,B51:K51)</f>
        <v/>
      </c>
      <c r="N51" s="21">
        <f>N50*(1+M51)</f>
        <v/>
      </c>
      <c r="O51" s="21">
        <f>MAX(O50,N51)</f>
        <v/>
      </c>
      <c r="P51" s="20">
        <f>N51/O51-1</f>
        <v/>
      </c>
    </row>
    <row r="52">
      <c r="A52" s="18" t="inlineStr">
        <is>
          <t>2024-03-05</t>
        </is>
      </c>
      <c r="B52" s="19" t="n">
        <v>-0.0284409196164559</v>
      </c>
      <c r="C52" s="19" t="n">
        <v>-0.02957202119742586</v>
      </c>
      <c r="D52" s="19" t="n">
        <v>0.01001745612022042</v>
      </c>
      <c r="E52" s="19" t="n">
        <v>0.0008134173847571535</v>
      </c>
      <c r="F52" s="19" t="n">
        <v>0.01226502756977643</v>
      </c>
      <c r="G52" s="19" t="n">
        <v>-0.001503995444581019</v>
      </c>
      <c r="H52" s="19" t="n">
        <v>-0.01948421375262155</v>
      </c>
      <c r="I52" s="19" t="n">
        <v>0.007822346583173267</v>
      </c>
      <c r="J52" s="19" t="n">
        <v>-0.01511882286372446</v>
      </c>
      <c r="K52" s="19" t="n">
        <v>0.0009919724003903951</v>
      </c>
      <c r="L52" s="19" t="n">
        <v>-0.009993910833388964</v>
      </c>
      <c r="M52" s="20">
        <f>SUMPRODUCT($B$3:$K$3,B52:K52)</f>
        <v/>
      </c>
      <c r="N52" s="21">
        <f>N51*(1+M52)</f>
        <v/>
      </c>
      <c r="O52" s="21">
        <f>MAX(O51,N52)</f>
        <v/>
      </c>
      <c r="P52" s="20">
        <f>N52/O52-1</f>
        <v/>
      </c>
    </row>
    <row r="53">
      <c r="A53" s="18" t="inlineStr">
        <is>
          <t>2024-03-06</t>
        </is>
      </c>
      <c r="B53" s="19" t="n">
        <v>-0.00587809028619013</v>
      </c>
      <c r="C53" s="19" t="n">
        <v>-0.001390805861504973</v>
      </c>
      <c r="D53" s="19" t="n">
        <v>0.005197604671933753</v>
      </c>
      <c r="E53" s="19" t="n">
        <v>-0.003938293522730341</v>
      </c>
      <c r="F53" s="19" t="n">
        <v>0.01069670741546935</v>
      </c>
      <c r="G53" s="19" t="n">
        <v>0.001569000400386766</v>
      </c>
      <c r="H53" s="19" t="n">
        <v>-0.00350333463966046</v>
      </c>
      <c r="I53" s="19" t="n">
        <v>0.002346595091631931</v>
      </c>
      <c r="J53" s="19" t="n">
        <v>0.006296379709254341</v>
      </c>
      <c r="K53" s="19" t="n">
        <v>-0.01040861668704973</v>
      </c>
      <c r="L53" s="19" t="n">
        <v>0.005067159247770681</v>
      </c>
      <c r="M53" s="20">
        <f>SUMPRODUCT($B$3:$K$3,B53:K53)</f>
        <v/>
      </c>
      <c r="N53" s="21">
        <f>N52*(1+M53)</f>
        <v/>
      </c>
      <c r="O53" s="21">
        <f>MAX(O52,N53)</f>
        <v/>
      </c>
      <c r="P53" s="20">
        <f>N53/O53-1</f>
        <v/>
      </c>
    </row>
    <row r="54">
      <c r="A54" s="18" t="inlineStr">
        <is>
          <t>2024-03-07</t>
        </is>
      </c>
      <c r="B54" s="19" t="n">
        <v>-0.0007095087488749874</v>
      </c>
      <c r="C54" s="19" t="n">
        <v>0.0175335498223208</v>
      </c>
      <c r="D54" s="19" t="n">
        <v>-0.008758701704980498</v>
      </c>
      <c r="E54" s="19" t="n">
        <v>-0.002949894607750747</v>
      </c>
      <c r="F54" s="19" t="n">
        <v>0.00561959732271089</v>
      </c>
      <c r="G54" s="19" t="n">
        <v>0.006580398169526269</v>
      </c>
      <c r="H54" s="19" t="n">
        <v>0.01907678475116548</v>
      </c>
      <c r="I54" s="19" t="n">
        <v>0.01296600394388681</v>
      </c>
      <c r="J54" s="19" t="n">
        <v>0.01367572837618303</v>
      </c>
      <c r="K54" s="19" t="n">
        <v>-0.0100176141539593</v>
      </c>
      <c r="L54" s="19" t="n">
        <v>0.009926432173728683</v>
      </c>
      <c r="M54" s="20">
        <f>SUMPRODUCT($B$3:$K$3,B54:K54)</f>
        <v/>
      </c>
      <c r="N54" s="21">
        <f>N53*(1+M54)</f>
        <v/>
      </c>
      <c r="O54" s="21">
        <f>MAX(O53,N54)</f>
        <v/>
      </c>
      <c r="P54" s="20">
        <f>N54/O54-1</f>
        <v/>
      </c>
    </row>
    <row r="55">
      <c r="A55" s="18" t="inlineStr">
        <is>
          <t>2024-03-08</t>
        </is>
      </c>
      <c r="B55" s="19" t="n">
        <v>0.01023662976347972</v>
      </c>
      <c r="C55" s="19" t="n">
        <v>-0.007137011193968146</v>
      </c>
      <c r="D55" s="19" t="n">
        <v>0.001863037112572297</v>
      </c>
      <c r="E55" s="19" t="n">
        <v>0.004091610807611223</v>
      </c>
      <c r="F55" s="19" t="n">
        <v>0.009406609610110639</v>
      </c>
      <c r="G55" s="19" t="n">
        <v>-0.001681069476523356</v>
      </c>
      <c r="H55" s="19" t="n">
        <v>-0.008313545751684748</v>
      </c>
      <c r="I55" s="19" t="n">
        <v>0.02773333193419103</v>
      </c>
      <c r="J55" s="19" t="n">
        <v>-0.00302754400741867</v>
      </c>
      <c r="K55" s="19" t="n">
        <v>-0.0005061138760766859</v>
      </c>
      <c r="L55" s="19" t="n">
        <v>-0.006002053782055539</v>
      </c>
      <c r="M55" s="20">
        <f>SUMPRODUCT($B$3:$K$3,B55:K55)</f>
        <v/>
      </c>
      <c r="N55" s="21">
        <f>N54*(1+M55)</f>
        <v/>
      </c>
      <c r="O55" s="21">
        <f>MAX(O54,N55)</f>
        <v/>
      </c>
      <c r="P55" s="20">
        <f>N55/O55-1</f>
        <v/>
      </c>
    </row>
    <row r="56">
      <c r="A56" s="18" t="inlineStr">
        <is>
          <t>2024-03-11</t>
        </is>
      </c>
      <c r="B56" s="19" t="n">
        <v>0.01183153798067793</v>
      </c>
      <c r="C56" s="19" t="n">
        <v>-0.004184918210973221</v>
      </c>
      <c r="D56" s="19" t="n">
        <v>0.0003718290932683832</v>
      </c>
      <c r="E56" s="19" t="n">
        <v>0.01071963388327357</v>
      </c>
      <c r="F56" s="19" t="n">
        <v>0.005905278788224555</v>
      </c>
      <c r="G56" s="19" t="n">
        <v>0.007483741144499012</v>
      </c>
      <c r="H56" s="19" t="n">
        <v>-0.01933275889164898</v>
      </c>
      <c r="I56" s="19" t="n">
        <v>0.001037844488394946</v>
      </c>
      <c r="J56" s="19" t="n">
        <v>-0.01244135992922302</v>
      </c>
      <c r="K56" s="19" t="n">
        <v>0.01569235886978282</v>
      </c>
      <c r="L56" s="19" t="n">
        <v>-0.0008600269759249102</v>
      </c>
      <c r="M56" s="20">
        <f>SUMPRODUCT($B$3:$K$3,B56:K56)</f>
        <v/>
      </c>
      <c r="N56" s="21">
        <f>N55*(1+M56)</f>
        <v/>
      </c>
      <c r="O56" s="21">
        <f>MAX(O55,N56)</f>
        <v/>
      </c>
      <c r="P56" s="20">
        <f>N56/O56-1</f>
        <v/>
      </c>
    </row>
    <row r="57">
      <c r="A57" s="18" t="inlineStr">
        <is>
          <t>2024-03-12</t>
        </is>
      </c>
      <c r="B57" s="19" t="n">
        <v>0.002778488638618182</v>
      </c>
      <c r="C57" s="19" t="n">
        <v>0.02659940853286558</v>
      </c>
      <c r="D57" s="19" t="n">
        <v>0.008231945362805915</v>
      </c>
      <c r="E57" s="19" t="n">
        <v>0.009365639446879515</v>
      </c>
      <c r="F57" s="19" t="n">
        <v>-0.006420950187799979</v>
      </c>
      <c r="G57" s="19" t="n">
        <v>0.00235220232815947</v>
      </c>
      <c r="H57" s="19" t="n">
        <v>0.01994645581451149</v>
      </c>
      <c r="I57" s="19" t="n">
        <v>-0.01244164679946158</v>
      </c>
      <c r="J57" s="19" t="n">
        <v>0.00677680826869409</v>
      </c>
      <c r="K57" s="19" t="n">
        <v>0</v>
      </c>
      <c r="L57" s="19" t="n">
        <v>0.01075724834577851</v>
      </c>
      <c r="M57" s="20">
        <f>SUMPRODUCT($B$3:$K$3,B57:K57)</f>
        <v/>
      </c>
      <c r="N57" s="21">
        <f>N56*(1+M57)</f>
        <v/>
      </c>
      <c r="O57" s="21">
        <f>MAX(O56,N57)</f>
        <v/>
      </c>
      <c r="P57" s="20">
        <f>N57/O57-1</f>
        <v/>
      </c>
    </row>
    <row r="58">
      <c r="A58" s="18" t="inlineStr">
        <is>
          <t>2024-03-13</t>
        </is>
      </c>
      <c r="B58" s="19" t="n">
        <v>-0.01212239560028783</v>
      </c>
      <c r="C58" s="19" t="n">
        <v>-0.000433470061947272</v>
      </c>
      <c r="D58" s="19" t="n">
        <v>0.008112213775829158</v>
      </c>
      <c r="E58" s="19" t="n">
        <v>-0.0100773588414772</v>
      </c>
      <c r="F58" s="19" t="n">
        <v>0.01117070987000934</v>
      </c>
      <c r="G58" s="19" t="n">
        <v>0.00228475275700446</v>
      </c>
      <c r="H58" s="19" t="n">
        <v>0.006670837408158103</v>
      </c>
      <c r="I58" s="19" t="n">
        <v>0.04181984608516731</v>
      </c>
      <c r="J58" s="19" t="n">
        <v>0.01269116927207681</v>
      </c>
      <c r="K58" s="19" t="n">
        <v>0.003239434759433779</v>
      </c>
      <c r="L58" s="19" t="n">
        <v>-0.001567458149074663</v>
      </c>
      <c r="M58" s="20">
        <f>SUMPRODUCT($B$3:$K$3,B58:K58)</f>
        <v/>
      </c>
      <c r="N58" s="21">
        <f>N57*(1+M58)</f>
        <v/>
      </c>
      <c r="O58" s="21">
        <f>MAX(O57,N58)</f>
        <v/>
      </c>
      <c r="P58" s="20">
        <f>N58/O58-1</f>
        <v/>
      </c>
    </row>
    <row r="59">
      <c r="A59" s="18" t="inlineStr">
        <is>
          <t>2024-03-14</t>
        </is>
      </c>
      <c r="B59" s="19" t="n">
        <v>0.01092720974286454</v>
      </c>
      <c r="C59" s="19" t="n">
        <v>0.02437973634250734</v>
      </c>
      <c r="D59" s="19" t="n">
        <v>-0.01781803985680297</v>
      </c>
      <c r="E59" s="19" t="n">
        <v>-0.01173190490538711</v>
      </c>
      <c r="F59" s="19" t="n">
        <v>0.01771216904542117</v>
      </c>
      <c r="G59" s="19" t="n">
        <v>-0.004928916066463951</v>
      </c>
      <c r="H59" s="19" t="n">
        <v>0.01240372944998192</v>
      </c>
      <c r="I59" s="19" t="n">
        <v>0</v>
      </c>
      <c r="J59" s="19" t="n">
        <v>0.001171445454040576</v>
      </c>
      <c r="K59" s="19" t="n">
        <v>-0.01217093962929661</v>
      </c>
      <c r="L59" s="19" t="n">
        <v>-0.001976722296110678</v>
      </c>
      <c r="M59" s="20">
        <f>SUMPRODUCT($B$3:$K$3,B59:K59)</f>
        <v/>
      </c>
      <c r="N59" s="21">
        <f>N58*(1+M59)</f>
        <v/>
      </c>
      <c r="O59" s="21">
        <f>MAX(O58,N59)</f>
        <v/>
      </c>
      <c r="P59" s="20">
        <f>N59/O59-1</f>
        <v/>
      </c>
    </row>
    <row r="60">
      <c r="A60" s="18" t="inlineStr">
        <is>
          <t>2024-03-15</t>
        </is>
      </c>
      <c r="B60" s="19" t="n">
        <v>-0.002196521391318651</v>
      </c>
      <c r="C60" s="19" t="n">
        <v>-0.02069530609342163</v>
      </c>
      <c r="D60" s="19" t="n">
        <v>0.01239567430406407</v>
      </c>
      <c r="E60" s="19" t="n">
        <v>-0.00646958203076109</v>
      </c>
      <c r="F60" s="19" t="n">
        <v>-0.001794341180671455</v>
      </c>
      <c r="G60" s="19" t="n">
        <v>-0.0007432166712354471</v>
      </c>
      <c r="H60" s="19" t="n">
        <v>-0.02422378646743883</v>
      </c>
      <c r="I60" s="19" t="n">
        <v>0.009069542637927697</v>
      </c>
      <c r="J60" s="19" t="n">
        <v>0.01476938224440105</v>
      </c>
      <c r="K60" s="19" t="n">
        <v>-0.007040350944564011</v>
      </c>
      <c r="L60" s="19" t="n">
        <v>-0.006866621980632592</v>
      </c>
      <c r="M60" s="20">
        <f>SUMPRODUCT($B$3:$K$3,B60:K60)</f>
        <v/>
      </c>
      <c r="N60" s="21">
        <f>N59*(1+M60)</f>
        <v/>
      </c>
      <c r="O60" s="21">
        <f>MAX(O59,N60)</f>
        <v/>
      </c>
      <c r="P60" s="20">
        <f>N60/O60-1</f>
        <v/>
      </c>
    </row>
    <row r="61">
      <c r="A61" s="18" t="inlineStr">
        <is>
          <t>2024-03-18</t>
        </is>
      </c>
      <c r="B61" s="19" t="n">
        <v>0.006372362504787343</v>
      </c>
      <c r="C61" s="19" t="n">
        <v>0.002161342430561097</v>
      </c>
      <c r="D61" s="19" t="n">
        <v>0.01240141984992804</v>
      </c>
      <c r="E61" s="19" t="n">
        <v>-0.008976950544597351</v>
      </c>
      <c r="F61" s="19" t="n">
        <v>0.009256621209191129</v>
      </c>
      <c r="G61" s="19" t="n">
        <v>-0.001053260804107614</v>
      </c>
      <c r="H61" s="19" t="n">
        <v>0.000343983254349256</v>
      </c>
      <c r="I61" s="19" t="n">
        <v>0.001497913257757055</v>
      </c>
      <c r="J61" s="19" t="n">
        <v>0.01420874511781922</v>
      </c>
      <c r="K61" s="19" t="n">
        <v>0.01114214366035493</v>
      </c>
      <c r="L61" s="19" t="n">
        <v>0.005943185146671359</v>
      </c>
      <c r="M61" s="20">
        <f>SUMPRODUCT($B$3:$K$3,B61:K61)</f>
        <v/>
      </c>
      <c r="N61" s="21">
        <f>N60*(1+M61)</f>
        <v/>
      </c>
      <c r="O61" s="21">
        <f>MAX(O60,N61)</f>
        <v/>
      </c>
      <c r="P61" s="20">
        <f>N61/O61-1</f>
        <v/>
      </c>
    </row>
    <row r="62">
      <c r="A62" s="18" t="inlineStr">
        <is>
          <t>2024-03-19</t>
        </is>
      </c>
      <c r="B62" s="19" t="n">
        <v>0.01358507594206348</v>
      </c>
      <c r="C62" s="19" t="n">
        <v>0.009800750965470728</v>
      </c>
      <c r="D62" s="19" t="n">
        <v>0.005865163589292788</v>
      </c>
      <c r="E62" s="19" t="n">
        <v>-0.003508587000026653</v>
      </c>
      <c r="F62" s="19" t="n">
        <v>0.007034882621052452</v>
      </c>
      <c r="G62" s="19" t="n">
        <v>0.003845764813694696</v>
      </c>
      <c r="H62" s="19" t="n">
        <v>0.008138458297320961</v>
      </c>
      <c r="I62" s="19" t="n">
        <v>0.01828167999317665</v>
      </c>
      <c r="J62" s="19" t="n">
        <v>0.005683381171085689</v>
      </c>
      <c r="K62" s="19" t="n">
        <v>0.001001525180095664</v>
      </c>
      <c r="L62" s="19" t="n">
        <v>0.005557043192334188</v>
      </c>
      <c r="M62" s="20">
        <f>SUMPRODUCT($B$3:$K$3,B62:K62)</f>
        <v/>
      </c>
      <c r="N62" s="21">
        <f>N61*(1+M62)</f>
        <v/>
      </c>
      <c r="O62" s="21">
        <f>MAX(O61,N62)</f>
        <v/>
      </c>
      <c r="P62" s="20">
        <f>N62/O62-1</f>
        <v/>
      </c>
    </row>
    <row r="63">
      <c r="A63" s="18" t="inlineStr">
        <is>
          <t>2024-03-20</t>
        </is>
      </c>
      <c r="B63" s="19" t="n">
        <v>0.01470915587069266</v>
      </c>
      <c r="C63" s="19" t="n">
        <v>0.009064733967115712</v>
      </c>
      <c r="D63" s="19" t="n">
        <v>0.01310691043963863</v>
      </c>
      <c r="E63" s="19" t="n">
        <v>-0.002880807606438052</v>
      </c>
      <c r="F63" s="19" t="n">
        <v>-0.0008843188442368977</v>
      </c>
      <c r="G63" s="19" t="n">
        <v>0.0009887670700361451</v>
      </c>
      <c r="H63" s="19" t="n">
        <v>0.01279135917039365</v>
      </c>
      <c r="I63" s="19" t="n">
        <v>0.01517859096139262</v>
      </c>
      <c r="J63" s="19" t="n">
        <v>0.007205520509297791</v>
      </c>
      <c r="K63" s="19" t="n">
        <v>0.003752720309226021</v>
      </c>
      <c r="L63" s="19" t="n">
        <v>0.009249342898826507</v>
      </c>
      <c r="M63" s="20">
        <f>SUMPRODUCT($B$3:$K$3,B63:K63)</f>
        <v/>
      </c>
      <c r="N63" s="21">
        <f>N62*(1+M63)</f>
        <v/>
      </c>
      <c r="O63" s="21">
        <f>MAX(O62,N63)</f>
        <v/>
      </c>
      <c r="P63" s="20">
        <f>N63/O63-1</f>
        <v/>
      </c>
    </row>
    <row r="64">
      <c r="A64" s="18" t="inlineStr">
        <is>
          <t>2024-03-21</t>
        </is>
      </c>
      <c r="B64" s="19" t="n">
        <v>-0.04085748804156975</v>
      </c>
      <c r="C64" s="19" t="n">
        <v>0.009735795069810482</v>
      </c>
      <c r="D64" s="19" t="n">
        <v>0.01390510125925037</v>
      </c>
      <c r="E64" s="19" t="n">
        <v>-6.417722746188126e-05</v>
      </c>
      <c r="F64" s="19" t="n">
        <v>0.004425288298164354</v>
      </c>
      <c r="G64" s="19" t="n">
        <v>-0.0008024727273020504</v>
      </c>
      <c r="H64" s="19" t="n">
        <v>0</v>
      </c>
      <c r="I64" s="19" t="n">
        <v>-0.01350478695848478</v>
      </c>
      <c r="J64" s="19" t="n">
        <v>0.02275214020929917</v>
      </c>
      <c r="K64" s="19" t="n">
        <v>0.01046884716054142</v>
      </c>
      <c r="L64" s="19" t="n">
        <v>0.003304728690925796</v>
      </c>
      <c r="M64" s="20">
        <f>SUMPRODUCT($B$3:$K$3,B64:K64)</f>
        <v/>
      </c>
      <c r="N64" s="21">
        <f>N63*(1+M64)</f>
        <v/>
      </c>
      <c r="O64" s="21">
        <f>MAX(O63,N64)</f>
        <v/>
      </c>
      <c r="P64" s="20">
        <f>N64/O64-1</f>
        <v/>
      </c>
    </row>
    <row r="65">
      <c r="A65" s="18" t="inlineStr">
        <is>
          <t>2024-03-22</t>
        </is>
      </c>
      <c r="B65" s="19" t="n">
        <v>0.005310452368668006</v>
      </c>
      <c r="C65" s="19" t="n">
        <v>-0.001467142082146156</v>
      </c>
      <c r="D65" s="19" t="n">
        <v>-0.01225734395669864</v>
      </c>
      <c r="E65" s="19" t="n">
        <v>-0.003338690532463606</v>
      </c>
      <c r="F65" s="19" t="n">
        <v>0</v>
      </c>
      <c r="G65" s="19" t="n">
        <v>-0.001235603680799446</v>
      </c>
      <c r="H65" s="19" t="n">
        <v>0.004041545020324167</v>
      </c>
      <c r="I65" s="19" t="n">
        <v>0.006844798068369906</v>
      </c>
      <c r="J65" s="19" t="n">
        <v>-0.01769276256339269</v>
      </c>
      <c r="K65" s="19" t="n">
        <v>-0.004193571297747889</v>
      </c>
      <c r="L65" s="19" t="n">
        <v>-0.001895767959301353</v>
      </c>
      <c r="M65" s="20">
        <f>SUMPRODUCT($B$3:$K$3,B65:K65)</f>
        <v/>
      </c>
      <c r="N65" s="21">
        <f>N64*(1+M65)</f>
        <v/>
      </c>
      <c r="O65" s="21">
        <f>MAX(O64,N65)</f>
        <v/>
      </c>
      <c r="P65" s="20">
        <f>N65/O65-1</f>
        <v/>
      </c>
    </row>
    <row r="66">
      <c r="A66" s="18" t="inlineStr">
        <is>
          <t>2024-03-25</t>
        </is>
      </c>
      <c r="B66" s="19" t="n">
        <v>-0.008300633569306437</v>
      </c>
      <c r="C66" s="19" t="n">
        <v>-0.01371465509127856</v>
      </c>
      <c r="D66" s="19" t="n">
        <v>-0.009154756957527765</v>
      </c>
      <c r="E66" s="19" t="n">
        <v>-6.450174091465755e-05</v>
      </c>
      <c r="F66" s="19" t="n">
        <v>0.01022115634998255</v>
      </c>
      <c r="G66" s="19" t="n">
        <v>-0.009093149252621835</v>
      </c>
      <c r="H66" s="19" t="n">
        <v>0.004696213001679439</v>
      </c>
      <c r="I66" s="19" t="n">
        <v>0.01343477143319305</v>
      </c>
      <c r="J66" s="19" t="n">
        <v>-0.006031450473087951</v>
      </c>
      <c r="K66" s="19" t="n">
        <v>0.01238556889955311</v>
      </c>
      <c r="L66" s="19" t="n">
        <v>-0.00276294282133982</v>
      </c>
      <c r="M66" s="20">
        <f>SUMPRODUCT($B$3:$K$3,B66:K66)</f>
        <v/>
      </c>
      <c r="N66" s="21">
        <f>N65*(1+M66)</f>
        <v/>
      </c>
      <c r="O66" s="21">
        <f>MAX(O65,N66)</f>
        <v/>
      </c>
      <c r="P66" s="20">
        <f>N66/O66-1</f>
        <v/>
      </c>
    </row>
    <row r="67">
      <c r="A67" s="18" t="inlineStr">
        <is>
          <t>2024-03-26</t>
        </is>
      </c>
      <c r="B67" s="19" t="n">
        <v>-0.006672488221913908</v>
      </c>
      <c r="C67" s="19" t="n">
        <v>-0.002861518415419262</v>
      </c>
      <c r="D67" s="19" t="n">
        <v>0.004670930406381002</v>
      </c>
      <c r="E67" s="19" t="n">
        <v>0.003543292313763491</v>
      </c>
      <c r="F67" s="19" t="n">
        <v>-0.00750109900996454</v>
      </c>
      <c r="G67" s="19" t="n">
        <v>0.002247272902726083</v>
      </c>
      <c r="H67" s="19" t="n">
        <v>-0.007845994154095037</v>
      </c>
      <c r="I67" s="19" t="n">
        <v>-0.01884685567993027</v>
      </c>
      <c r="J67" s="19" t="n">
        <v>0.001236067781288375</v>
      </c>
      <c r="K67" s="19" t="n">
        <v>-0.0004895199967379638</v>
      </c>
      <c r="L67" s="19" t="n">
        <v>-0.001847024918334328</v>
      </c>
      <c r="M67" s="20">
        <f>SUMPRODUCT($B$3:$K$3,B67:K67)</f>
        <v/>
      </c>
      <c r="N67" s="21">
        <f>N66*(1+M67)</f>
        <v/>
      </c>
      <c r="O67" s="21">
        <f>MAX(O66,N67)</f>
        <v/>
      </c>
      <c r="P67" s="20">
        <f>N67/O67-1</f>
        <v/>
      </c>
    </row>
    <row r="68">
      <c r="A68" s="18" t="inlineStr">
        <is>
          <t>2024-03-27</t>
        </is>
      </c>
      <c r="B68" s="19" t="n">
        <v>0.02121271861476814</v>
      </c>
      <c r="C68" s="19" t="n">
        <v>-0.0005218093740043672</v>
      </c>
      <c r="D68" s="19" t="n">
        <v>0.01936341414198517</v>
      </c>
      <c r="E68" s="19" t="n">
        <v>0.01405947892060189</v>
      </c>
      <c r="F68" s="19" t="n">
        <v>0.01037001391763881</v>
      </c>
      <c r="G68" s="19" t="n">
        <v>0.01283071351730825</v>
      </c>
      <c r="H68" s="19" t="n">
        <v>0.008581036192426339</v>
      </c>
      <c r="I68" s="19" t="n">
        <v>0.03841776544066611</v>
      </c>
      <c r="J68" s="19" t="n">
        <v>0.02317689052370198</v>
      </c>
      <c r="K68" s="19" t="n">
        <v>0.01689121318898579</v>
      </c>
      <c r="L68" s="19" t="n">
        <v>0.008404023423034479</v>
      </c>
      <c r="M68" s="20">
        <f>SUMPRODUCT($B$3:$K$3,B68:K68)</f>
        <v/>
      </c>
      <c r="N68" s="21">
        <f>N67*(1+M68)</f>
        <v/>
      </c>
      <c r="O68" s="21">
        <f>MAX(O67,N68)</f>
        <v/>
      </c>
      <c r="P68" s="20">
        <f>N68/O68-1</f>
        <v/>
      </c>
    </row>
    <row r="69">
      <c r="A69" s="18" t="inlineStr">
        <is>
          <t>2024-03-28</t>
        </is>
      </c>
      <c r="B69" s="19" t="n">
        <v>-0.01055924320276369</v>
      </c>
      <c r="C69" s="19" t="n">
        <v>-0.001684584929465216</v>
      </c>
      <c r="D69" s="19" t="n">
        <v>0.003909411652245343</v>
      </c>
      <c r="E69" s="19" t="n">
        <v>0.001456035707157577</v>
      </c>
      <c r="F69" s="19" t="n">
        <v>0.01104622285341716</v>
      </c>
      <c r="G69" s="19" t="n">
        <v>-0.002213728707927909</v>
      </c>
      <c r="H69" s="19" t="n">
        <v>0.00305846102517715</v>
      </c>
      <c r="I69" s="19" t="n">
        <v>0.001881103272145523</v>
      </c>
      <c r="J69" s="19" t="n">
        <v>0.004881286402399931</v>
      </c>
      <c r="K69" s="19" t="n">
        <v>0.01011076282663215</v>
      </c>
      <c r="L69" s="19" t="n">
        <v>-0.0001911530432039399</v>
      </c>
      <c r="M69" s="20">
        <f>SUMPRODUCT($B$3:$K$3,B69:K69)</f>
        <v/>
      </c>
      <c r="N69" s="21">
        <f>N68*(1+M69)</f>
        <v/>
      </c>
      <c r="O69" s="21">
        <f>MAX(O68,N69)</f>
        <v/>
      </c>
      <c r="P69" s="20">
        <f>N69/O69-1</f>
        <v/>
      </c>
    </row>
    <row r="70">
      <c r="A70" s="18" t="inlineStr">
        <is>
          <t>2024-04-01</t>
        </is>
      </c>
      <c r="B70" s="19" t="n">
        <v>-0.008455759329022761</v>
      </c>
      <c r="C70" s="19" t="n">
        <v>0.009151109103331168</v>
      </c>
      <c r="D70" s="19" t="n">
        <v>-0.006789859504478635</v>
      </c>
      <c r="E70" s="19" t="n">
        <v>-0.002591880621873432</v>
      </c>
      <c r="F70" s="19" t="n">
        <v>0.006452162097985381</v>
      </c>
      <c r="G70" s="19" t="n">
        <v>-0.01029281809210814</v>
      </c>
      <c r="H70" s="19" t="n">
        <v>0.003270852211551434</v>
      </c>
      <c r="I70" s="19" t="n">
        <v>-0.008292831351195851</v>
      </c>
      <c r="J70" s="19" t="n">
        <v>-0.007340987704660629</v>
      </c>
      <c r="K70" s="19" t="n">
        <v>0.007626182495053424</v>
      </c>
      <c r="L70" s="19" t="n">
        <v>-0.001739747180449114</v>
      </c>
      <c r="M70" s="20">
        <f>SUMPRODUCT($B$3:$K$3,B70:K70)</f>
        <v/>
      </c>
      <c r="N70" s="21">
        <f>N69*(1+M70)</f>
        <v/>
      </c>
      <c r="O70" s="21">
        <f>MAX(O69,N70)</f>
        <v/>
      </c>
      <c r="P70" s="20">
        <f>N70/O70-1</f>
        <v/>
      </c>
    </row>
    <row r="71">
      <c r="A71" s="18" t="inlineStr">
        <is>
          <t>2024-04-02</t>
        </is>
      </c>
      <c r="B71" s="19" t="n">
        <v>-0.006998691272129598</v>
      </c>
      <c r="C71" s="19" t="n">
        <v>-0.007372184676721516</v>
      </c>
      <c r="D71" s="19" t="n">
        <v>-0.0004020721183517484</v>
      </c>
      <c r="E71" s="19" t="n">
        <v>-0.0003170890026731321</v>
      </c>
      <c r="F71" s="19" t="n">
        <v>0.01957452924319192</v>
      </c>
      <c r="G71" s="19" t="n">
        <v>-6.21457148447524e-05</v>
      </c>
      <c r="H71" s="19" t="n">
        <v>-0.001547211015130667</v>
      </c>
      <c r="I71" s="19" t="n">
        <v>-0.007888956502151268</v>
      </c>
      <c r="J71" s="19" t="n">
        <v>0.002996518101082035</v>
      </c>
      <c r="K71" s="19" t="n">
        <v>0.006149622687012357</v>
      </c>
      <c r="L71" s="19" t="n">
        <v>-0.006358039191712406</v>
      </c>
      <c r="M71" s="20">
        <f>SUMPRODUCT($B$3:$K$3,B71:K71)</f>
        <v/>
      </c>
      <c r="N71" s="21">
        <f>N70*(1+M71)</f>
        <v/>
      </c>
      <c r="O71" s="21">
        <f>MAX(O70,N71)</f>
        <v/>
      </c>
      <c r="P71" s="20">
        <f>N71/O71-1</f>
        <v/>
      </c>
    </row>
    <row r="72">
      <c r="A72" s="18" t="inlineStr">
        <is>
          <t>2024-04-03</t>
        </is>
      </c>
      <c r="B72" s="19" t="n">
        <v>0.004797377471410957</v>
      </c>
      <c r="C72" s="19" t="n">
        <v>-0.002349311738918169</v>
      </c>
      <c r="D72" s="19" t="n">
        <v>-0.00281604125395718</v>
      </c>
      <c r="E72" s="19" t="n">
        <v>-0.02199965936867865</v>
      </c>
      <c r="F72" s="19" t="n">
        <v>0.0001676438731290641</v>
      </c>
      <c r="G72" s="19" t="n">
        <v>-0.02752718510855512</v>
      </c>
      <c r="H72" s="19" t="n">
        <v>0.009519072430478559</v>
      </c>
      <c r="I72" s="19" t="n">
        <v>-0.005248126467677139</v>
      </c>
      <c r="J72" s="19" t="n">
        <v>0.03004146113723638</v>
      </c>
      <c r="K72" s="19" t="n">
        <v>0.007052219240094582</v>
      </c>
      <c r="L72" s="19" t="n">
        <v>0.001098598653910932</v>
      </c>
      <c r="M72" s="20">
        <f>SUMPRODUCT($B$3:$K$3,B72:K72)</f>
        <v/>
      </c>
      <c r="N72" s="21">
        <f>N71*(1+M72)</f>
        <v/>
      </c>
      <c r="O72" s="21">
        <f>MAX(O71,N72)</f>
        <v/>
      </c>
      <c r="P72" s="20">
        <f>N72/O72-1</f>
        <v/>
      </c>
    </row>
    <row r="73">
      <c r="A73" s="18" t="inlineStr">
        <is>
          <t>2024-04-04</t>
        </is>
      </c>
      <c r="B73" s="19" t="n">
        <v>-0.004892400022803556</v>
      </c>
      <c r="C73" s="19" t="n">
        <v>-0.00611227938229153</v>
      </c>
      <c r="D73" s="19" t="n">
        <v>-0.007608474754681405</v>
      </c>
      <c r="E73" s="19" t="n">
        <v>-0.01140926891738892</v>
      </c>
      <c r="F73" s="19" t="n">
        <v>0.003520624154299101</v>
      </c>
      <c r="G73" s="19" t="n">
        <v>-0.004482597120239906</v>
      </c>
      <c r="H73" s="19" t="n">
        <v>-0.01321201476742229</v>
      </c>
      <c r="I73" s="19" t="n">
        <v>0.01886493476842244</v>
      </c>
      <c r="J73" s="19" t="n">
        <v>-0.01596630337863758</v>
      </c>
      <c r="K73" s="19" t="n">
        <v>-0.009103746748811647</v>
      </c>
      <c r="L73" s="19" t="n">
        <v>-0.01220627481149028</v>
      </c>
      <c r="M73" s="20">
        <f>SUMPRODUCT($B$3:$K$3,B73:K73)</f>
        <v/>
      </c>
      <c r="N73" s="21">
        <f>N72*(1+M73)</f>
        <v/>
      </c>
      <c r="O73" s="21">
        <f>MAX(O72,N73)</f>
        <v/>
      </c>
      <c r="P73" s="20">
        <f>N73/O73-1</f>
        <v/>
      </c>
    </row>
    <row r="74">
      <c r="A74" s="18" t="inlineStr">
        <is>
          <t>2024-04-05</t>
        </is>
      </c>
      <c r="B74" s="19" t="n">
        <v>0.004501723472345676</v>
      </c>
      <c r="C74" s="19" t="n">
        <v>0.01828261389426844</v>
      </c>
      <c r="D74" s="19" t="n">
        <v>0.009200152615401525</v>
      </c>
      <c r="E74" s="19" t="n">
        <v>-0.0007212552738372624</v>
      </c>
      <c r="F74" s="19" t="n">
        <v>0.01378196286930033</v>
      </c>
      <c r="G74" s="19" t="n">
        <v>0.004181273922271078</v>
      </c>
      <c r="H74" s="19" t="n">
        <v>0.02816670735677085</v>
      </c>
      <c r="I74" s="19" t="n">
        <v>0.007061003867758542</v>
      </c>
      <c r="J74" s="19" t="n">
        <v>0.02571704389742857</v>
      </c>
      <c r="K74" s="19" t="n">
        <v>-0.00777380395466587</v>
      </c>
      <c r="L74" s="19" t="n">
        <v>0.0104468958391839</v>
      </c>
      <c r="M74" s="20">
        <f>SUMPRODUCT($B$3:$K$3,B74:K74)</f>
        <v/>
      </c>
      <c r="N74" s="21">
        <f>N73*(1+M74)</f>
        <v/>
      </c>
      <c r="O74" s="21">
        <f>MAX(O73,N74)</f>
        <v/>
      </c>
      <c r="P74" s="20">
        <f>N74/O74-1</f>
        <v/>
      </c>
    </row>
    <row r="75">
      <c r="A75" s="18" t="inlineStr">
        <is>
          <t>2024-04-08</t>
        </is>
      </c>
      <c r="B75" s="19" t="n">
        <v>-0.006663607957398288</v>
      </c>
      <c r="C75" s="19" t="n">
        <v>-0.002185529618050075</v>
      </c>
      <c r="D75" s="19" t="n">
        <v>0.005216487088702593</v>
      </c>
      <c r="E75" s="19" t="n">
        <v>-0.005249542488796499</v>
      </c>
      <c r="F75" s="19" t="n">
        <v>-0.006756197153782728</v>
      </c>
      <c r="G75" s="19" t="n">
        <v>-0.0003844112866496774</v>
      </c>
      <c r="H75" s="19" t="n">
        <v>0.0006483768975988902</v>
      </c>
      <c r="I75" s="19" t="n">
        <v>0.01059538603335297</v>
      </c>
      <c r="J75" s="19" t="n">
        <v>-0.01537020631562136</v>
      </c>
      <c r="K75" s="19" t="n">
        <v>-0.009259366890722154</v>
      </c>
      <c r="L75" s="19" t="n">
        <v>0.000559369767839657</v>
      </c>
      <c r="M75" s="20">
        <f>SUMPRODUCT($B$3:$K$3,B75:K75)</f>
        <v/>
      </c>
      <c r="N75" s="21">
        <f>N74*(1+M75)</f>
        <v/>
      </c>
      <c r="O75" s="21">
        <f>MAX(O74,N75)</f>
        <v/>
      </c>
      <c r="P75" s="20">
        <f>N75/O75-1</f>
        <v/>
      </c>
    </row>
    <row r="76">
      <c r="A76" s="18" t="inlineStr">
        <is>
          <t>2024-04-09</t>
        </is>
      </c>
      <c r="B76" s="19" t="n">
        <v>0.007242626381280148</v>
      </c>
      <c r="C76" s="19" t="n">
        <v>0.00398026223714476</v>
      </c>
      <c r="D76" s="19" t="n">
        <v>-0.006700979233231208</v>
      </c>
      <c r="E76" s="19" t="n">
        <v>0.004617495477101441</v>
      </c>
      <c r="F76" s="19" t="n">
        <v>0.005226143706231756</v>
      </c>
      <c r="G76" s="19" t="n">
        <v>0.003973394361193039</v>
      </c>
      <c r="H76" s="19" t="n">
        <v>0.002591909504893186</v>
      </c>
      <c r="I76" s="19" t="n">
        <v>0.008017161150013941</v>
      </c>
      <c r="J76" s="19" t="n">
        <v>-0.004203891435482943</v>
      </c>
      <c r="K76" s="19" t="n">
        <v>-0.005478911786936824</v>
      </c>
      <c r="L76" s="19" t="n">
        <v>0.001156757476388659</v>
      </c>
      <c r="M76" s="20">
        <f>SUMPRODUCT($B$3:$K$3,B76:K76)</f>
        <v/>
      </c>
      <c r="N76" s="21">
        <f>N75*(1+M76)</f>
        <v/>
      </c>
      <c r="O76" s="21">
        <f>MAX(O75,N76)</f>
        <v/>
      </c>
      <c r="P76" s="20">
        <f>N76/O76-1</f>
        <v/>
      </c>
    </row>
    <row r="77">
      <c r="A77" s="18" t="inlineStr">
        <is>
          <t>2024-04-10</t>
        </is>
      </c>
      <c r="B77" s="19" t="n">
        <v>-0.01113924451108539</v>
      </c>
      <c r="C77" s="19" t="n">
        <v>-0.00708454200665587</v>
      </c>
      <c r="D77" s="19" t="n">
        <v>-0.008521369150904956</v>
      </c>
      <c r="E77" s="19" t="n">
        <v>-0.01372360680601514</v>
      </c>
      <c r="F77" s="19" t="n">
        <v>0.008417147927372248</v>
      </c>
      <c r="G77" s="19" t="n">
        <v>0.003702345571752197</v>
      </c>
      <c r="H77" s="19" t="n">
        <v>0.001508045360360866</v>
      </c>
      <c r="I77" s="19" t="n">
        <v>-0.02095443152207965</v>
      </c>
      <c r="J77" s="19" t="n">
        <v>0.0004571012238920868</v>
      </c>
      <c r="K77" s="19" t="n">
        <v>-0.007835470912949116</v>
      </c>
      <c r="L77" s="19" t="n">
        <v>-0.01001316410310793</v>
      </c>
      <c r="M77" s="20">
        <f>SUMPRODUCT($B$3:$K$3,B77:K77)</f>
        <v/>
      </c>
      <c r="N77" s="21">
        <f>N76*(1+M77)</f>
        <v/>
      </c>
      <c r="O77" s="21">
        <f>MAX(O76,N77)</f>
        <v/>
      </c>
      <c r="P77" s="20">
        <f>N77/O77-1</f>
        <v/>
      </c>
    </row>
    <row r="78">
      <c r="A78" s="18" t="inlineStr">
        <is>
          <t>2024-04-11</t>
        </is>
      </c>
      <c r="B78" s="19" t="n">
        <v>0.04327091568561037</v>
      </c>
      <c r="C78" s="19" t="n">
        <v>0.01103340695553379</v>
      </c>
      <c r="D78" s="19" t="n">
        <v>-0.0002047269765784732</v>
      </c>
      <c r="E78" s="19" t="n">
        <v>-0.009387552191191362</v>
      </c>
      <c r="F78" s="19" t="n">
        <v>-0.003355153988160664</v>
      </c>
      <c r="G78" s="19" t="n">
        <v>-0.008903563447572815</v>
      </c>
      <c r="H78" s="19" t="n">
        <v>0.01667118125513323</v>
      </c>
      <c r="I78" s="19" t="n">
        <v>-0.00109369891997313</v>
      </c>
      <c r="J78" s="19" t="n">
        <v>-0.0002417895135023995</v>
      </c>
      <c r="K78" s="19" t="n">
        <v>-0.008884710073403412</v>
      </c>
      <c r="L78" s="19" t="n">
        <v>0.007546964338324802</v>
      </c>
      <c r="M78" s="20">
        <f>SUMPRODUCT($B$3:$K$3,B78:K78)</f>
        <v/>
      </c>
      <c r="N78" s="21">
        <f>N77*(1+M78)</f>
        <v/>
      </c>
      <c r="O78" s="21">
        <f>MAX(O77,N78)</f>
        <v/>
      </c>
      <c r="P78" s="20">
        <f>N78/O78-1</f>
        <v/>
      </c>
    </row>
    <row r="79">
      <c r="A79" s="18" t="inlineStr">
        <is>
          <t>2024-04-12</t>
        </is>
      </c>
      <c r="B79" s="19" t="n">
        <v>0.008626672936359325</v>
      </c>
      <c r="C79" s="19" t="n">
        <v>-0.01409111374827088</v>
      </c>
      <c r="D79" s="19" t="n">
        <v>-0.06467776590996255</v>
      </c>
      <c r="E79" s="19" t="n">
        <v>-0.008535613455364799</v>
      </c>
      <c r="F79" s="19" t="n">
        <v>-0.0116593787348046</v>
      </c>
      <c r="G79" s="19" t="n">
        <v>-0.003272528506447991</v>
      </c>
      <c r="H79" s="19" t="n">
        <v>-0.01544563936423682</v>
      </c>
      <c r="I79" s="19" t="n">
        <v>-0.01345000005128616</v>
      </c>
      <c r="J79" s="19" t="n">
        <v>-0.01707104458417696</v>
      </c>
      <c r="K79" s="19" t="n">
        <v>-0.01095600680078113</v>
      </c>
      <c r="L79" s="19" t="n">
        <v>-0.01380315481965577</v>
      </c>
      <c r="M79" s="20">
        <f>SUMPRODUCT($B$3:$K$3,B79:K79)</f>
        <v/>
      </c>
      <c r="N79" s="21">
        <f>N78*(1+M79)</f>
        <v/>
      </c>
      <c r="O79" s="21">
        <f>MAX(O78,N79)</f>
        <v/>
      </c>
      <c r="P79" s="20">
        <f>N79/O79-1</f>
        <v/>
      </c>
    </row>
    <row r="80">
      <c r="A80" s="18" t="inlineStr">
        <is>
          <t>2024-04-15</t>
        </is>
      </c>
      <c r="B80" s="19" t="n">
        <v>-0.02186350131775472</v>
      </c>
      <c r="C80" s="19" t="n">
        <v>-0.01957793588291257</v>
      </c>
      <c r="D80" s="19" t="n">
        <v>0.000547103130470683</v>
      </c>
      <c r="E80" s="19" t="n">
        <v>0.0004745556018022068</v>
      </c>
      <c r="F80" s="19" t="n">
        <v>-0.005732267289616844</v>
      </c>
      <c r="G80" s="19" t="n">
        <v>0.0007725286745763338</v>
      </c>
      <c r="H80" s="19" t="n">
        <v>-0.01348525063009209</v>
      </c>
      <c r="I80" s="19" t="n">
        <v>-0.005231551791147537</v>
      </c>
      <c r="J80" s="19" t="n">
        <v>-0.004703970886641984</v>
      </c>
      <c r="K80" s="19" t="n">
        <v>0.00981861890762703</v>
      </c>
      <c r="L80" s="19" t="n">
        <v>-0.01252815669405882</v>
      </c>
      <c r="M80" s="20">
        <f>SUMPRODUCT($B$3:$K$3,B80:K80)</f>
        <v/>
      </c>
      <c r="N80" s="21">
        <f>N79*(1+M80)</f>
        <v/>
      </c>
      <c r="O80" s="21">
        <f>MAX(O79,N80)</f>
        <v/>
      </c>
      <c r="P80" s="20">
        <f>N80/O80-1</f>
        <v/>
      </c>
    </row>
    <row r="81">
      <c r="A81" s="18" t="inlineStr">
        <is>
          <t>2024-04-16</t>
        </is>
      </c>
      <c r="B81" s="19" t="n">
        <v>-0.01916721957410228</v>
      </c>
      <c r="C81" s="19" t="n">
        <v>0.002272367612699222</v>
      </c>
      <c r="D81" s="19" t="n">
        <v>-0.01142772221833699</v>
      </c>
      <c r="E81" s="19" t="n">
        <v>-0.02127514760890425</v>
      </c>
      <c r="F81" s="19" t="n">
        <v>-0.008272190808193303</v>
      </c>
      <c r="G81" s="19" t="n">
        <v>0.003216332279789125</v>
      </c>
      <c r="H81" s="19" t="n">
        <v>-0.001633742516860992</v>
      </c>
      <c r="I81" s="19" t="n">
        <v>-0.01673294280763693</v>
      </c>
      <c r="J81" s="19" t="n">
        <v>-0.01107426330812888</v>
      </c>
      <c r="K81" s="19" t="n">
        <v>-0.008476748589063665</v>
      </c>
      <c r="L81" s="19" t="n">
        <v>-0.001823769846000522</v>
      </c>
      <c r="M81" s="20">
        <f>SUMPRODUCT($B$3:$K$3,B81:K81)</f>
        <v/>
      </c>
      <c r="N81" s="21">
        <f>N80*(1+M81)</f>
        <v/>
      </c>
      <c r="O81" s="21">
        <f>MAX(O80,N81)</f>
        <v/>
      </c>
      <c r="P81" s="20">
        <f>N81/O81-1</f>
        <v/>
      </c>
    </row>
    <row r="82">
      <c r="A82" s="18" t="inlineStr">
        <is>
          <t>2024-04-17</t>
        </is>
      </c>
      <c r="B82" s="19" t="n">
        <v>-0.008147417578714844</v>
      </c>
      <c r="C82" s="19" t="n">
        <v>-0.006609085252171742</v>
      </c>
      <c r="D82" s="19" t="n">
        <v>-0.003982322640115221</v>
      </c>
      <c r="E82" s="19" t="n">
        <v>0.002215147221552138</v>
      </c>
      <c r="F82" s="19" t="n">
        <v>-0.0005055013845223222</v>
      </c>
      <c r="G82" s="19" t="n">
        <v>0.006476345742904899</v>
      </c>
      <c r="H82" s="19" t="n">
        <v>-0.01112812820978082</v>
      </c>
      <c r="I82" s="19" t="n">
        <v>0.03387356192786872</v>
      </c>
      <c r="J82" s="19" t="n">
        <v>-0.004334700658740642</v>
      </c>
      <c r="K82" s="19" t="n">
        <v>0.0002515227798167707</v>
      </c>
      <c r="L82" s="19" t="n">
        <v>-0.005918270721091967</v>
      </c>
      <c r="M82" s="20">
        <f>SUMPRODUCT($B$3:$K$3,B82:K82)</f>
        <v/>
      </c>
      <c r="N82" s="21">
        <f>N81*(1+M82)</f>
        <v/>
      </c>
      <c r="O82" s="21">
        <f>MAX(O81,N82)</f>
        <v/>
      </c>
      <c r="P82" s="20">
        <f>N82/O82-1</f>
        <v/>
      </c>
    </row>
    <row r="83">
      <c r="A83" s="18" t="inlineStr">
        <is>
          <t>2024-04-18</t>
        </is>
      </c>
      <c r="B83" s="19" t="n">
        <v>-0.005714461476874044</v>
      </c>
      <c r="C83" s="19" t="n">
        <v>-0.01838100261332831</v>
      </c>
      <c r="D83" s="19" t="n">
        <v>0.00649712583418105</v>
      </c>
      <c r="E83" s="19" t="n">
        <v>0.00670048079009411</v>
      </c>
      <c r="F83" s="19" t="n">
        <v>-0.000927198022349196</v>
      </c>
      <c r="G83" s="19" t="n">
        <v>0.008573295573779616</v>
      </c>
      <c r="H83" s="19" t="n">
        <v>-0.01136362297255822</v>
      </c>
      <c r="I83" s="19" t="n">
        <v>0.003448817849262875</v>
      </c>
      <c r="J83" s="19" t="n">
        <v>-0.001088459000512576</v>
      </c>
      <c r="K83" s="19" t="n">
        <v>0.008798527911674681</v>
      </c>
      <c r="L83" s="19" t="n">
        <v>-0.002057668575260685</v>
      </c>
      <c r="M83" s="20">
        <f>SUMPRODUCT($B$3:$K$3,B83:K83)</f>
        <v/>
      </c>
      <c r="N83" s="21">
        <f>N82*(1+M83)</f>
        <v/>
      </c>
      <c r="O83" s="21">
        <f>MAX(O82,N83)</f>
        <v/>
      </c>
      <c r="P83" s="20">
        <f>N83/O83-1</f>
        <v/>
      </c>
    </row>
    <row r="84">
      <c r="A84" s="18" t="inlineStr">
        <is>
          <t>2024-04-19</t>
        </is>
      </c>
      <c r="B84" s="19" t="n">
        <v>-0.01221249050126805</v>
      </c>
      <c r="C84" s="19" t="n">
        <v>-0.01273898437973164</v>
      </c>
      <c r="D84" s="19" t="n">
        <v>0.02510350966981179</v>
      </c>
      <c r="E84" s="19" t="n">
        <v>0.01488955113566259</v>
      </c>
      <c r="F84" s="19" t="n">
        <v>0.01147476770289413</v>
      </c>
      <c r="G84" s="19" t="n">
        <v>0.005404010673291992</v>
      </c>
      <c r="H84" s="19" t="n">
        <v>-0.02561096030926935</v>
      </c>
      <c r="I84" s="19" t="n">
        <v>0.0045306633051172</v>
      </c>
      <c r="J84" s="19" t="n">
        <v>-0.005524050305616646</v>
      </c>
      <c r="K84" s="19" t="n">
        <v>0.00897061476815586</v>
      </c>
      <c r="L84" s="19" t="n">
        <v>-0.008728372086996616</v>
      </c>
      <c r="M84" s="20">
        <f>SUMPRODUCT($B$3:$K$3,B84:K84)</f>
        <v/>
      </c>
      <c r="N84" s="21">
        <f>N83*(1+M84)</f>
        <v/>
      </c>
      <c r="O84" s="21">
        <f>MAX(O83,N84)</f>
        <v/>
      </c>
      <c r="P84" s="20">
        <f>N84/O84-1</f>
        <v/>
      </c>
    </row>
    <row r="85">
      <c r="A85" s="18" t="inlineStr">
        <is>
          <t>2024-04-22</t>
        </is>
      </c>
      <c r="B85" s="19" t="n">
        <v>0.005090855447134057</v>
      </c>
      <c r="C85" s="19" t="n">
        <v>0.004610141313124094</v>
      </c>
      <c r="D85" s="19" t="n">
        <v>0.01942947253947969</v>
      </c>
      <c r="E85" s="19" t="n">
        <v>0.008180454248212676</v>
      </c>
      <c r="F85" s="19" t="n">
        <v>0.00567239901152794</v>
      </c>
      <c r="G85" s="19" t="n">
        <v>0.01517640597208691</v>
      </c>
      <c r="H85" s="19" t="n">
        <v>0.01488856881422707</v>
      </c>
      <c r="I85" s="19" t="n">
        <v>0.01570745411758412</v>
      </c>
      <c r="J85" s="19" t="n">
        <v>0.008318022080084697</v>
      </c>
      <c r="K85" s="19" t="n">
        <v>-0.04667817966278254</v>
      </c>
      <c r="L85" s="19" t="n">
        <v>0.009209096152491769</v>
      </c>
      <c r="M85" s="20">
        <f>SUMPRODUCT($B$3:$K$3,B85:K85)</f>
        <v/>
      </c>
      <c r="N85" s="21">
        <f>N84*(1+M85)</f>
        <v/>
      </c>
      <c r="O85" s="21">
        <f>MAX(O84,N85)</f>
        <v/>
      </c>
      <c r="P85" s="20">
        <f>N85/O85-1</f>
        <v/>
      </c>
    </row>
    <row r="86">
      <c r="A86" s="18" t="inlineStr">
        <is>
          <t>2024-04-23</t>
        </is>
      </c>
      <c r="B86" s="19" t="n">
        <v>0.006391702274044953</v>
      </c>
      <c r="C86" s="19" t="n">
        <v>0.01648549296482837</v>
      </c>
      <c r="D86" s="19" t="n">
        <v>0.01441317868946634</v>
      </c>
      <c r="E86" s="19" t="n">
        <v>0.002950743160491154</v>
      </c>
      <c r="F86" s="19" t="n">
        <v>0.003898455304967019</v>
      </c>
      <c r="G86" s="19" t="n">
        <v>0.00597985072676277</v>
      </c>
      <c r="H86" s="19" t="n">
        <v>0.01303389727631088</v>
      </c>
      <c r="I86" s="19" t="n">
        <v>0.01362728497232868</v>
      </c>
      <c r="J86" s="19" t="n">
        <v>0.01577126432360054</v>
      </c>
      <c r="K86" s="19" t="n">
        <v>0.0284976582326244</v>
      </c>
      <c r="L86" s="19" t="n">
        <v>0.0118665548877519</v>
      </c>
      <c r="M86" s="20">
        <f>SUMPRODUCT($B$3:$K$3,B86:K86)</f>
        <v/>
      </c>
      <c r="N86" s="21">
        <f>N85*(1+M86)</f>
        <v/>
      </c>
      <c r="O86" s="21">
        <f>MAX(O85,N86)</f>
        <v/>
      </c>
      <c r="P86" s="20">
        <f>N86/O86-1</f>
        <v/>
      </c>
    </row>
    <row r="87">
      <c r="A87" s="18" t="inlineStr">
        <is>
          <t>2024-04-24</t>
        </is>
      </c>
      <c r="B87" s="19" t="n">
        <v>0.01270221576668851</v>
      </c>
      <c r="C87" s="19" t="n">
        <v>0.003655952950005981</v>
      </c>
      <c r="D87" s="19" t="n">
        <v>0.004892343480373151</v>
      </c>
      <c r="E87" s="19" t="n">
        <v>-0.00688690799413838</v>
      </c>
      <c r="F87" s="19" t="n">
        <v>0.0001653564959009923</v>
      </c>
      <c r="G87" s="19" t="n">
        <v>0.006810960898946838</v>
      </c>
      <c r="H87" s="19" t="n">
        <v>-0.01643086252955783</v>
      </c>
      <c r="I87" s="19" t="n">
        <v>0.005437990291567552</v>
      </c>
      <c r="J87" s="19" t="n">
        <v>0.0007433087085486623</v>
      </c>
      <c r="K87" s="19" t="n">
        <v>-0.005289731636501038</v>
      </c>
      <c r="L87" s="19" t="n">
        <v>-0.0004745262597501965</v>
      </c>
      <c r="M87" s="20">
        <f>SUMPRODUCT($B$3:$K$3,B87:K87)</f>
        <v/>
      </c>
      <c r="N87" s="21">
        <f>N86*(1+M87)</f>
        <v/>
      </c>
      <c r="O87" s="21">
        <f>MAX(O86,N87)</f>
        <v/>
      </c>
      <c r="P87" s="20">
        <f>N87/O87-1</f>
        <v/>
      </c>
    </row>
    <row r="88">
      <c r="A88" s="18" t="inlineStr">
        <is>
          <t>2024-04-25</t>
        </is>
      </c>
      <c r="B88" s="19" t="n">
        <v>0.005147370188657296</v>
      </c>
      <c r="C88" s="19" t="n">
        <v>-0.02449526823956971</v>
      </c>
      <c r="D88" s="19" t="n">
        <v>0.001501918635226307</v>
      </c>
      <c r="E88" s="19" t="n">
        <v>-0.011512689579253</v>
      </c>
      <c r="F88" s="19" t="n">
        <v>0.002313037545971897</v>
      </c>
      <c r="G88" s="19" t="n">
        <v>-0.0003073906272262894</v>
      </c>
      <c r="H88" s="19" t="n">
        <v>-0.01653546763406766</v>
      </c>
      <c r="I88" s="19" t="n">
        <v>0.005108355091062222</v>
      </c>
      <c r="J88" s="19" t="n">
        <v>-0.07020237936123275</v>
      </c>
      <c r="K88" s="19" t="n">
        <v>-0.006837250754265778</v>
      </c>
      <c r="L88" s="19" t="n">
        <v>-0.003798944804554005</v>
      </c>
      <c r="M88" s="20">
        <f>SUMPRODUCT($B$3:$K$3,B88:K88)</f>
        <v/>
      </c>
      <c r="N88" s="21">
        <f>N87*(1+M88)</f>
        <v/>
      </c>
      <c r="O88" s="21">
        <f>MAX(O87,N88)</f>
        <v/>
      </c>
      <c r="P88" s="20">
        <f>N88/O88-1</f>
        <v/>
      </c>
    </row>
    <row r="89">
      <c r="A89" s="18" t="inlineStr">
        <is>
          <t>2024-04-26</t>
        </is>
      </c>
      <c r="B89" s="19" t="n">
        <v>-0.003472902552987378</v>
      </c>
      <c r="C89" s="19" t="n">
        <v>0.0182438096556834</v>
      </c>
      <c r="D89" s="19" t="n">
        <v>0.00062052019352965</v>
      </c>
      <c r="E89" s="19" t="n">
        <v>-0.00463167667921538</v>
      </c>
      <c r="F89" s="19" t="n">
        <v>-0.0277755180656829</v>
      </c>
      <c r="G89" s="19" t="n">
        <v>-0.007751516121042523</v>
      </c>
      <c r="H89" s="19" t="n">
        <v>0.03426036166853685</v>
      </c>
      <c r="I89" s="19" t="n">
        <v>-0.01360259452061863</v>
      </c>
      <c r="J89" s="19" t="n">
        <v>0.01591717519690072</v>
      </c>
      <c r="K89" s="19" t="n">
        <v>0.01172880490209871</v>
      </c>
      <c r="L89" s="19" t="n">
        <v>0.009473954705583099</v>
      </c>
      <c r="M89" s="20">
        <f>SUMPRODUCT($B$3:$K$3,B89:K89)</f>
        <v/>
      </c>
      <c r="N89" s="21">
        <f>N88*(1+M89)</f>
        <v/>
      </c>
      <c r="O89" s="21">
        <f>MAX(O88,N89)</f>
        <v/>
      </c>
      <c r="P89" s="20">
        <f>N89/O89-1</f>
        <v/>
      </c>
    </row>
    <row r="90">
      <c r="A90" s="18" t="inlineStr">
        <is>
          <t>2024-04-29</t>
        </is>
      </c>
      <c r="B90" s="19" t="n">
        <v>0.02480804680057358</v>
      </c>
      <c r="C90" s="19" t="n">
        <v>-0.01001669129511329</v>
      </c>
      <c r="D90" s="19" t="n">
        <v>-0.001085340214288411</v>
      </c>
      <c r="E90" s="19" t="n">
        <v>0.004653228931138731</v>
      </c>
      <c r="F90" s="19" t="n">
        <v>0.01424205138238932</v>
      </c>
      <c r="G90" s="19" t="n">
        <v>0.002293868732769155</v>
      </c>
      <c r="H90" s="19" t="n">
        <v>0.007460258507441919</v>
      </c>
      <c r="I90" s="19" t="n">
        <v>0.02167011794816909</v>
      </c>
      <c r="J90" s="19" t="n">
        <v>0.01869636289333876</v>
      </c>
      <c r="K90" s="19" t="n">
        <v>0.01033270289605315</v>
      </c>
      <c r="L90" s="19" t="n">
        <v>0.003541505172151682</v>
      </c>
      <c r="M90" s="20">
        <f>SUMPRODUCT($B$3:$K$3,B90:K90)</f>
        <v/>
      </c>
      <c r="N90" s="21">
        <f>N89*(1+M90)</f>
        <v/>
      </c>
      <c r="O90" s="21">
        <f>MAX(O89,N90)</f>
        <v/>
      </c>
      <c r="P90" s="20">
        <f>N90/O90-1</f>
        <v/>
      </c>
    </row>
    <row r="91">
      <c r="A91" s="18" t="inlineStr">
        <is>
          <t>2024-04-30</t>
        </is>
      </c>
      <c r="B91" s="19" t="n">
        <v>-0.01827082893435428</v>
      </c>
      <c r="C91" s="19" t="n">
        <v>-0.03211949433851002</v>
      </c>
      <c r="D91" s="19" t="n">
        <v>-0.007967699062813915</v>
      </c>
      <c r="E91" s="19" t="n">
        <v>-0.01518886855376245</v>
      </c>
      <c r="F91" s="19" t="n">
        <v>-0.01145116017860637</v>
      </c>
      <c r="G91" s="19" t="n">
        <v>0.009526291156506161</v>
      </c>
      <c r="H91" s="19" t="n">
        <v>-0.03293549122868411</v>
      </c>
      <c r="I91" s="19" t="n">
        <v>-0.006674483355286864</v>
      </c>
      <c r="J91" s="19" t="n">
        <v>-0.04353915522427754</v>
      </c>
      <c r="K91" s="19" t="n">
        <v>-0.01496638272522266</v>
      </c>
      <c r="L91" s="19" t="n">
        <v>-0.01584126360521243</v>
      </c>
      <c r="M91" s="20">
        <f>SUMPRODUCT($B$3:$K$3,B91:K91)</f>
        <v/>
      </c>
      <c r="N91" s="21">
        <f>N90*(1+M91)</f>
        <v/>
      </c>
      <c r="O91" s="21">
        <f>MAX(O90,N91)</f>
        <v/>
      </c>
      <c r="P91" s="20">
        <f>N91/O91-1</f>
        <v/>
      </c>
    </row>
    <row r="92">
      <c r="A92" s="18" t="inlineStr">
        <is>
          <t>2024-05-01</t>
        </is>
      </c>
      <c r="B92" s="19" t="n">
        <v>-0.00604716361990143</v>
      </c>
      <c r="C92" s="19" t="n">
        <v>0.01440938149272819</v>
      </c>
      <c r="D92" s="19" t="n">
        <v>0.0006257953249879655</v>
      </c>
      <c r="E92" s="19" t="n">
        <v>0.04557724203152702</v>
      </c>
      <c r="F92" s="19" t="n">
        <v>-0.01893939923445598</v>
      </c>
      <c r="G92" s="19" t="n">
        <v>0.00122553837319983</v>
      </c>
      <c r="H92" s="19" t="n">
        <v>0.02285714285714291</v>
      </c>
      <c r="I92" s="19" t="n">
        <v>0.02448834568138514</v>
      </c>
      <c r="J92" s="19" t="n">
        <v>-0.01046102461492104</v>
      </c>
      <c r="K92" s="19" t="n">
        <v>-0.007343751084358474</v>
      </c>
      <c r="L92" s="19" t="n">
        <v>-0.003247202143011885</v>
      </c>
      <c r="M92" s="20">
        <f>SUMPRODUCT($B$3:$K$3,B92:K92)</f>
        <v/>
      </c>
      <c r="N92" s="21">
        <f>N91*(1+M92)</f>
        <v/>
      </c>
      <c r="O92" s="21">
        <f>MAX(O91,N92)</f>
        <v/>
      </c>
      <c r="P92" s="20">
        <f>N92/O92-1</f>
        <v/>
      </c>
    </row>
    <row r="93">
      <c r="A93" s="18" t="inlineStr">
        <is>
          <t>2024-05-02</t>
        </is>
      </c>
      <c r="B93" s="19" t="n">
        <v>0.02203197786506639</v>
      </c>
      <c r="C93" s="19" t="n">
        <v>0.007342890942003244</v>
      </c>
      <c r="D93" s="19" t="n">
        <v>-0.001042312139653112</v>
      </c>
      <c r="E93" s="19" t="n">
        <v>-0.008334445278087355</v>
      </c>
      <c r="F93" s="19" t="n">
        <v>0.001809672418016106</v>
      </c>
      <c r="G93" s="19" t="n">
        <v>0.002692685883026291</v>
      </c>
      <c r="H93" s="19" t="n">
        <v>0.03195531408214047</v>
      </c>
      <c r="I93" s="19" t="n">
        <v>0.003498142911015023</v>
      </c>
      <c r="J93" s="19" t="n">
        <v>0.01319957686220619</v>
      </c>
      <c r="K93" s="19" t="n">
        <v>-0.006887833287439249</v>
      </c>
      <c r="L93" s="19" t="n">
        <v>0.009353380648526866</v>
      </c>
      <c r="M93" s="20">
        <f>SUMPRODUCT($B$3:$K$3,B93:K93)</f>
        <v/>
      </c>
      <c r="N93" s="21">
        <f>N92*(1+M93)</f>
        <v/>
      </c>
      <c r="O93" s="21">
        <f>MAX(O92,N93)</f>
        <v/>
      </c>
      <c r="P93" s="20">
        <f>N93/O93-1</f>
        <v/>
      </c>
    </row>
    <row r="94">
      <c r="A94" s="18" t="inlineStr">
        <is>
          <t>2024-05-03</t>
        </is>
      </c>
      <c r="B94" s="19" t="n">
        <v>0.05981632473675313</v>
      </c>
      <c r="C94" s="19" t="n">
        <v>0.02216971969258807</v>
      </c>
      <c r="D94" s="19" t="n">
        <v>-0.00600038239080336</v>
      </c>
      <c r="E94" s="19" t="n">
        <v>-0.004335545866930191</v>
      </c>
      <c r="F94" s="19" t="n">
        <v>-0.002064623600528059</v>
      </c>
      <c r="G94" s="19" t="n">
        <v>0.003784378063620641</v>
      </c>
      <c r="H94" s="19" t="n">
        <v>0.008066292135759712</v>
      </c>
      <c r="I94" s="19" t="n">
        <v>0.01873667585584116</v>
      </c>
      <c r="J94" s="19" t="n">
        <v>0.003905289199726658</v>
      </c>
      <c r="K94" s="19" t="n">
        <v>-0.001027459126168084</v>
      </c>
      <c r="L94" s="19" t="n">
        <v>0.01239550577064019</v>
      </c>
      <c r="M94" s="20">
        <f>SUMPRODUCT($B$3:$K$3,B94:K94)</f>
        <v/>
      </c>
      <c r="N94" s="21">
        <f>N93*(1+M94)</f>
        <v/>
      </c>
      <c r="O94" s="21">
        <f>MAX(O93,N94)</f>
        <v/>
      </c>
      <c r="P94" s="20">
        <f>N94/O94-1</f>
        <v/>
      </c>
    </row>
    <row r="95">
      <c r="A95" s="18" t="inlineStr">
        <is>
          <t>2024-05-06</t>
        </is>
      </c>
      <c r="B95" s="19" t="n">
        <v>-0.009106868129326373</v>
      </c>
      <c r="C95" s="19" t="n">
        <v>0.01691840917179577</v>
      </c>
      <c r="D95" s="19" t="n">
        <v>0.00782120889020943</v>
      </c>
      <c r="E95" s="19" t="n">
        <v>-0.004622404446031014</v>
      </c>
      <c r="F95" s="19" t="n">
        <v>0.006465439681895502</v>
      </c>
      <c r="G95" s="19" t="n">
        <v>-0.0001217626503118296</v>
      </c>
      <c r="H95" s="19" t="n">
        <v>0.01337194642928696</v>
      </c>
      <c r="I95" s="19" t="n">
        <v>0.01582510913263802</v>
      </c>
      <c r="J95" s="19" t="n">
        <v>0.0158870974586407</v>
      </c>
      <c r="K95" s="19" t="n">
        <v>0.01131412936908971</v>
      </c>
      <c r="L95" s="19" t="n">
        <v>0.01032669080043891</v>
      </c>
      <c r="M95" s="20">
        <f>SUMPRODUCT($B$3:$K$3,B95:K95)</f>
        <v/>
      </c>
      <c r="N95" s="21">
        <f>N94*(1+M95)</f>
        <v/>
      </c>
      <c r="O95" s="21">
        <f>MAX(O94,N95)</f>
        <v/>
      </c>
      <c r="P95" s="20">
        <f>N95/O95-1</f>
        <v/>
      </c>
    </row>
    <row r="96">
      <c r="A96" s="18" t="inlineStr">
        <is>
          <t>2024-05-07</t>
        </is>
      </c>
      <c r="B96" s="19" t="n">
        <v>0.003797413337923938</v>
      </c>
      <c r="C96" s="19" t="n">
        <v>-0.01015628073943375</v>
      </c>
      <c r="D96" s="19" t="n">
        <v>-0.001302106644840983</v>
      </c>
      <c r="E96" s="19" t="n">
        <v>0.0009420095403378514</v>
      </c>
      <c r="F96" s="19" t="n">
        <v>-0.004967876574220709</v>
      </c>
      <c r="G96" s="19" t="n">
        <v>0.008027165441994999</v>
      </c>
      <c r="H96" s="19" t="n">
        <v>0.00031795209095975</v>
      </c>
      <c r="I96" s="19" t="n">
        <v>0.00982448816815662</v>
      </c>
      <c r="J96" s="19" t="n">
        <v>0.008477163977951729</v>
      </c>
      <c r="K96" s="19" t="n">
        <v>-0.0005086732383592363</v>
      </c>
      <c r="L96" s="19" t="n">
        <v>0.001103548140827915</v>
      </c>
      <c r="M96" s="20">
        <f>SUMPRODUCT($B$3:$K$3,B96:K96)</f>
        <v/>
      </c>
      <c r="N96" s="21">
        <f>N95*(1+M96)</f>
        <v/>
      </c>
      <c r="O96" s="21">
        <f>MAX(O95,N96)</f>
        <v/>
      </c>
      <c r="P96" s="20">
        <f>N96/O96-1</f>
        <v/>
      </c>
    </row>
    <row r="97">
      <c r="A97" s="18" t="inlineStr">
        <is>
          <t>2024-05-08</t>
        </is>
      </c>
      <c r="B97" s="19" t="n">
        <v>0.001863954729942829</v>
      </c>
      <c r="C97" s="19" t="n">
        <v>0.002931481465999086</v>
      </c>
      <c r="D97" s="19" t="n">
        <v>0.02033899746559853</v>
      </c>
      <c r="E97" s="19" t="n">
        <v>0.001546609955068057</v>
      </c>
      <c r="F97" s="19" t="n">
        <v>-0.0001721319203668026</v>
      </c>
      <c r="G97" s="19" t="n">
        <v>-0.004162491094583554</v>
      </c>
      <c r="H97" s="19" t="n">
        <v>-0.004026247769404523</v>
      </c>
      <c r="I97" s="19" t="n">
        <v>0.01250885468943319</v>
      </c>
      <c r="J97" s="19" t="n">
        <v>-0.001449369431896552</v>
      </c>
      <c r="K97" s="19" t="n">
        <v>0.004324573651282027</v>
      </c>
      <c r="L97" s="19" t="n">
        <v>9.653907712281473e-05</v>
      </c>
      <c r="M97" s="20">
        <f>SUMPRODUCT($B$3:$K$3,B97:K97)</f>
        <v/>
      </c>
      <c r="N97" s="21">
        <f>N96*(1+M97)</f>
        <v/>
      </c>
      <c r="O97" s="21">
        <f>MAX(O96,N97)</f>
        <v/>
      </c>
      <c r="P97" s="20">
        <f>N97/O97-1</f>
        <v/>
      </c>
    </row>
    <row r="98">
      <c r="A98" s="18" t="inlineStr">
        <is>
          <t>2024-05-09</t>
        </is>
      </c>
      <c r="B98" s="19" t="n">
        <v>0.01001418177026747</v>
      </c>
      <c r="C98" s="19" t="n">
        <v>0.004335944782179801</v>
      </c>
      <c r="D98" s="19" t="n">
        <v>0.009455682901215789</v>
      </c>
      <c r="E98" s="19" t="n">
        <v>0.006042224395318874</v>
      </c>
      <c r="F98" s="19" t="n">
        <v>0.0197159498036974</v>
      </c>
      <c r="G98" s="19" t="n">
        <v>0.005876206477352097</v>
      </c>
      <c r="H98" s="19" t="n">
        <v>0.007978723404255428</v>
      </c>
      <c r="I98" s="19" t="n">
        <v>0.02374748008317606</v>
      </c>
      <c r="J98" s="19" t="n">
        <v>0.02113201230830275</v>
      </c>
      <c r="K98" s="19" t="n">
        <v>0.007852353276404322</v>
      </c>
      <c r="L98" s="19" t="n">
        <v>0.005761836361708905</v>
      </c>
      <c r="M98" s="20">
        <f>SUMPRODUCT($B$3:$K$3,B98:K98)</f>
        <v/>
      </c>
      <c r="N98" s="21">
        <f>N97*(1+M98)</f>
        <v/>
      </c>
      <c r="O98" s="21">
        <f>MAX(O97,N98)</f>
        <v/>
      </c>
      <c r="P98" s="20">
        <f>N98/O98-1</f>
        <v/>
      </c>
    </row>
    <row r="99">
      <c r="A99" s="18" t="inlineStr">
        <is>
          <t>2024-05-10</t>
        </is>
      </c>
      <c r="B99" s="19" t="n">
        <v>-0.006890121763036827</v>
      </c>
      <c r="C99" s="19" t="n">
        <v>0.005869105730072599</v>
      </c>
      <c r="D99" s="19" t="n">
        <v>0.00643041707490033</v>
      </c>
      <c r="E99" s="19" t="n">
        <v>0.0004005776440989539</v>
      </c>
      <c r="F99" s="19" t="n">
        <v>-0.004052686459451449</v>
      </c>
      <c r="G99" s="19" t="n">
        <v>0.004878412429784262</v>
      </c>
      <c r="H99" s="19" t="n">
        <v>-0.01065965315282835</v>
      </c>
      <c r="I99" s="19" t="n">
        <v>-0.01059267374874839</v>
      </c>
      <c r="J99" s="19" t="n">
        <v>0.008556556985532149</v>
      </c>
      <c r="K99" s="19" t="n">
        <v>0.0153303967106746</v>
      </c>
      <c r="L99" s="19" t="n">
        <v>0.001288226714371898</v>
      </c>
      <c r="M99" s="20">
        <f>SUMPRODUCT($B$3:$K$3,B99:K99)</f>
        <v/>
      </c>
      <c r="N99" s="21">
        <f>N98*(1+M99)</f>
        <v/>
      </c>
      <c r="O99" s="21">
        <f>MAX(O98,N99)</f>
        <v/>
      </c>
      <c r="P99" s="20">
        <f>N99/O99-1</f>
        <v/>
      </c>
    </row>
    <row r="100">
      <c r="A100" s="18" t="inlineStr">
        <is>
          <t>2024-05-13</t>
        </is>
      </c>
      <c r="B100" s="19" t="n">
        <v>0.01764532328791191</v>
      </c>
      <c r="C100" s="19" t="n">
        <v>-0.002459503557904807</v>
      </c>
      <c r="D100" s="19" t="n">
        <v>-0.0002013280735467804</v>
      </c>
      <c r="E100" s="19" t="n">
        <v>0.008738350630179692</v>
      </c>
      <c r="F100" s="19" t="n">
        <v>-0.0004238347033443945</v>
      </c>
      <c r="G100" s="19" t="n">
        <v>-0.005873526908808824</v>
      </c>
      <c r="H100" s="19" t="n">
        <v>-0.004853789332504355</v>
      </c>
      <c r="I100" s="19" t="n">
        <v>0.01070607975876103</v>
      </c>
      <c r="J100" s="19" t="n">
        <v>0.005327141911084077</v>
      </c>
      <c r="K100" s="19" t="n">
        <v>0.00346520310678966</v>
      </c>
      <c r="L100" s="19" t="n">
        <v>0.0001342790373894953</v>
      </c>
      <c r="M100" s="20">
        <f>SUMPRODUCT($B$3:$K$3,B100:K100)</f>
        <v/>
      </c>
      <c r="N100" s="21">
        <f>N99*(1+M100)</f>
        <v/>
      </c>
      <c r="O100" s="21">
        <f>MAX(O99,N100)</f>
        <v/>
      </c>
      <c r="P100" s="20">
        <f>N100/O100-1</f>
        <v/>
      </c>
    </row>
    <row r="101">
      <c r="A101" s="18" t="inlineStr">
        <is>
          <t>2024-05-14</t>
        </is>
      </c>
      <c r="B101" s="19" t="n">
        <v>0.006173439293038818</v>
      </c>
      <c r="C101" s="19" t="n">
        <v>0.006864741277453845</v>
      </c>
      <c r="D101" s="19" t="n">
        <v>0.01398888377668084</v>
      </c>
      <c r="E101" s="19" t="n">
        <v>0.001058096760893079</v>
      </c>
      <c r="F101" s="19" t="n">
        <v>0.006070388916846525</v>
      </c>
      <c r="G101" s="19" t="n">
        <v>-0.00066331807112463</v>
      </c>
      <c r="H101" s="19" t="n">
        <v>0.002679959159411549</v>
      </c>
      <c r="I101" s="19" t="n">
        <v>0.01126298760578903</v>
      </c>
      <c r="J101" s="19" t="n">
        <v>0.004205371170960648</v>
      </c>
      <c r="K101" s="19" t="n">
        <v>-0.001233400153411779</v>
      </c>
      <c r="L101" s="19" t="n">
        <v>0.004588216177836335</v>
      </c>
      <c r="M101" s="20">
        <f>SUMPRODUCT($B$3:$K$3,B101:K101)</f>
        <v/>
      </c>
      <c r="N101" s="21">
        <f>N100*(1+M101)</f>
        <v/>
      </c>
      <c r="O101" s="21">
        <f>MAX(O100,N101)</f>
        <v/>
      </c>
      <c r="P101" s="20">
        <f>N101/O101-1</f>
        <v/>
      </c>
    </row>
    <row r="102">
      <c r="A102" s="18" t="inlineStr">
        <is>
          <t>2024-05-15</t>
        </is>
      </c>
      <c r="B102" s="19" t="n">
        <v>0.01221794879065219</v>
      </c>
      <c r="C102" s="19" t="n">
        <v>0.01748389135484096</v>
      </c>
      <c r="D102" s="19" t="n">
        <v>0.00297750952052489</v>
      </c>
      <c r="E102" s="19" t="n">
        <v>0.00852175305807723</v>
      </c>
      <c r="F102" s="19" t="n">
        <v>0.007733522728381459</v>
      </c>
      <c r="G102" s="19" t="n">
        <v>0.004524816557462508</v>
      </c>
      <c r="H102" s="19" t="n">
        <v>-0.005773249525686142</v>
      </c>
      <c r="I102" s="19" t="n">
        <v>0.02161246032883923</v>
      </c>
      <c r="J102" s="19" t="n">
        <v>0.005192896161542837</v>
      </c>
      <c r="K102" s="19" t="n">
        <v>0</v>
      </c>
      <c r="L102" s="19" t="n">
        <v>0.01238295535400846</v>
      </c>
      <c r="M102" s="20">
        <f>SUMPRODUCT($B$3:$K$3,B102:K102)</f>
        <v/>
      </c>
      <c r="N102" s="21">
        <f>N101*(1+M102)</f>
        <v/>
      </c>
      <c r="O102" s="21">
        <f>MAX(O101,N102)</f>
        <v/>
      </c>
      <c r="P102" s="20">
        <f>N102/O102-1</f>
        <v/>
      </c>
    </row>
    <row r="103">
      <c r="A103" s="18" t="inlineStr">
        <is>
          <t>2024-05-16</t>
        </is>
      </c>
      <c r="B103" s="19" t="n">
        <v>0.0006325872306205405</v>
      </c>
      <c r="C103" s="19" t="n">
        <v>-0.004939906417921858</v>
      </c>
      <c r="D103" s="19" t="n">
        <v>0.001781138881527422</v>
      </c>
      <c r="E103" s="19" t="n">
        <v>0.01054562643376444</v>
      </c>
      <c r="F103" s="19" t="n">
        <v>-0.00598745749842855</v>
      </c>
      <c r="G103" s="19" t="n">
        <v>0.00810747670598877</v>
      </c>
      <c r="H103" s="19" t="n">
        <v>-0.01268885714634993</v>
      </c>
      <c r="I103" s="19" t="n">
        <v>-0.008306413317584749</v>
      </c>
      <c r="J103" s="19" t="n">
        <v>-0.0258859134544257</v>
      </c>
      <c r="K103" s="19" t="n">
        <v>-0.005927238868905449</v>
      </c>
      <c r="L103" s="19" t="n">
        <v>-0.00205753019043331</v>
      </c>
      <c r="M103" s="20">
        <f>SUMPRODUCT($B$3:$K$3,B103:K103)</f>
        <v/>
      </c>
      <c r="N103" s="21">
        <f>N102*(1+M103)</f>
        <v/>
      </c>
      <c r="O103" s="21">
        <f>MAX(O102,N103)</f>
        <v/>
      </c>
      <c r="P103" s="20">
        <f>N103/O103-1</f>
        <v/>
      </c>
    </row>
    <row r="104">
      <c r="A104" s="18" t="inlineStr">
        <is>
          <t>2024-05-17</t>
        </is>
      </c>
      <c r="B104" s="19" t="n">
        <v>0.0001579859717866228</v>
      </c>
      <c r="C104" s="19" t="n">
        <v>-0.001852827636867671</v>
      </c>
      <c r="D104" s="19" t="n">
        <v>0.01145842825563714</v>
      </c>
      <c r="E104" s="19" t="n">
        <v>0.002333497948950214</v>
      </c>
      <c r="F104" s="19" t="n">
        <v>0.01501644145065439</v>
      </c>
      <c r="G104" s="19" t="n">
        <v>-0.001310619278467318</v>
      </c>
      <c r="H104" s="19" t="n">
        <v>0.005826891232250109</v>
      </c>
      <c r="I104" s="19" t="n">
        <v>-0.004187993866821671</v>
      </c>
      <c r="J104" s="19" t="n">
        <v>0.01582453359262348</v>
      </c>
      <c r="K104" s="19" t="n">
        <v>-0.004720403690443464</v>
      </c>
      <c r="L104" s="19" t="n">
        <v>0.001437428650042483</v>
      </c>
      <c r="M104" s="20">
        <f>SUMPRODUCT($B$3:$K$3,B104:K104)</f>
        <v/>
      </c>
      <c r="N104" s="21">
        <f>N103*(1+M104)</f>
        <v/>
      </c>
      <c r="O104" s="21">
        <f>MAX(O103,N104)</f>
        <v/>
      </c>
      <c r="P104" s="20">
        <f>N104/O104-1</f>
        <v/>
      </c>
    </row>
    <row r="105">
      <c r="A105" s="18" t="inlineStr">
        <is>
          <t>2024-05-20</t>
        </is>
      </c>
      <c r="B105" s="19" t="n">
        <v>0.0061621022396392</v>
      </c>
      <c r="C105" s="19" t="n">
        <v>0.01220818687864544</v>
      </c>
      <c r="D105" s="19" t="n">
        <v>-0.04497276674931183</v>
      </c>
      <c r="E105" s="19" t="n">
        <v>-0.01388523594977342</v>
      </c>
      <c r="F105" s="19" t="n">
        <v>-0.008107604263047907</v>
      </c>
      <c r="G105" s="19" t="n">
        <v>-0.001968460561011298</v>
      </c>
      <c r="H105" s="19" t="n">
        <v>-0.006280474722663021</v>
      </c>
      <c r="I105" s="19" t="n">
        <v>-0.002891152742915737</v>
      </c>
      <c r="J105" s="19" t="n">
        <v>0.01818847471158214</v>
      </c>
      <c r="K105" s="19" t="n">
        <v>0.00149754943446867</v>
      </c>
      <c r="L105" s="19" t="n">
        <v>0.001152303854064174</v>
      </c>
      <c r="M105" s="20">
        <f>SUMPRODUCT($B$3:$K$3,B105:K105)</f>
        <v/>
      </c>
      <c r="N105" s="21">
        <f>N104*(1+M105)</f>
        <v/>
      </c>
      <c r="O105" s="21">
        <f>MAX(O104,N105)</f>
        <v/>
      </c>
      <c r="P105" s="20">
        <f>N105/O105-1</f>
        <v/>
      </c>
    </row>
    <row r="106">
      <c r="A106" s="18" t="inlineStr">
        <is>
          <t>2024-05-21</t>
        </is>
      </c>
      <c r="B106" s="19" t="n">
        <v>0.006857322647017217</v>
      </c>
      <c r="C106" s="19" t="n">
        <v>0.008698894605679186</v>
      </c>
      <c r="D106" s="19" t="n">
        <v>0.02014531445847068</v>
      </c>
      <c r="E106" s="19" t="n">
        <v>-0.0001984806041535059</v>
      </c>
      <c r="F106" s="19" t="n">
        <v>-0.006910003906798967</v>
      </c>
      <c r="G106" s="19" t="n">
        <v>0.00621615361345107</v>
      </c>
      <c r="H106" s="19" t="n">
        <v>-0.002124874163204393</v>
      </c>
      <c r="I106" s="19" t="n">
        <v>0.01423478200265049</v>
      </c>
      <c r="J106" s="19" t="n">
        <v>-0.01014464583566921</v>
      </c>
      <c r="K106" s="19" t="n">
        <v>-0.01246268059792133</v>
      </c>
      <c r="L106" s="19" t="n">
        <v>0.002452510468336166</v>
      </c>
      <c r="M106" s="20">
        <f>SUMPRODUCT($B$3:$K$3,B106:K106)</f>
        <v/>
      </c>
      <c r="N106" s="21">
        <f>N105*(1+M106)</f>
        <v/>
      </c>
      <c r="O106" s="21">
        <f>MAX(O105,N106)</f>
        <v/>
      </c>
      <c r="P106" s="20">
        <f>N106/O106-1</f>
        <v/>
      </c>
    </row>
    <row r="107">
      <c r="A107" s="18" t="inlineStr">
        <is>
          <t>2024-05-22</t>
        </is>
      </c>
      <c r="B107" s="19" t="n">
        <v>-0.007538427311609142</v>
      </c>
      <c r="C107" s="19" t="n">
        <v>0.003449666379520266</v>
      </c>
      <c r="D107" s="19" t="n">
        <v>-0.006064576254141363</v>
      </c>
      <c r="E107" s="19" t="n">
        <v>0.01494308377758902</v>
      </c>
      <c r="F107" s="19" t="n">
        <v>-0.02011020857414836</v>
      </c>
      <c r="G107" s="19" t="n">
        <v>-0.0032074881746188</v>
      </c>
      <c r="H107" s="19" t="n">
        <v>-0.0001091401274257997</v>
      </c>
      <c r="I107" s="19" t="n">
        <v>-0.008187125905120274</v>
      </c>
      <c r="J107" s="19" t="n">
        <v>-0.008717138854861473</v>
      </c>
      <c r="K107" s="19" t="n">
        <v>0.004291071710276873</v>
      </c>
      <c r="L107" s="19" t="n">
        <v>-0.002879450944794359</v>
      </c>
      <c r="M107" s="20">
        <f>SUMPRODUCT($B$3:$K$3,B107:K107)</f>
        <v/>
      </c>
      <c r="N107" s="21">
        <f>N106*(1+M107)</f>
        <v/>
      </c>
      <c r="O107" s="21">
        <f>MAX(O106,N107)</f>
        <v/>
      </c>
      <c r="P107" s="20">
        <f>N107/O107-1</f>
        <v/>
      </c>
    </row>
    <row r="108">
      <c r="A108" s="18" t="inlineStr">
        <is>
          <t>2024-05-23</t>
        </is>
      </c>
      <c r="B108" s="19" t="n">
        <v>-0.02105813822034297</v>
      </c>
      <c r="C108" s="19" t="n">
        <v>-0.008176279333043213</v>
      </c>
      <c r="D108" s="19" t="n">
        <v>-0.007009294746806227</v>
      </c>
      <c r="E108" s="19" t="n">
        <v>-0.02475562511061813</v>
      </c>
      <c r="F108" s="19" t="n">
        <v>-0.01705929238257708</v>
      </c>
      <c r="G108" s="19" t="n">
        <v>-0.01382531280207089</v>
      </c>
      <c r="H108" s="19" t="n">
        <v>-0.01135806135311201</v>
      </c>
      <c r="I108" s="19" t="n">
        <v>-0.01310256485999484</v>
      </c>
      <c r="J108" s="19" t="n">
        <v>-0.01472147436395188</v>
      </c>
      <c r="K108" s="19" t="n">
        <v>-0.009047600215247642</v>
      </c>
      <c r="L108" s="19" t="n">
        <v>-0.007304272871542894</v>
      </c>
      <c r="M108" s="20">
        <f>SUMPRODUCT($B$3:$K$3,B108:K108)</f>
        <v/>
      </c>
      <c r="N108" s="21">
        <f>N107*(1+M108)</f>
        <v/>
      </c>
      <c r="O108" s="21">
        <f>MAX(O107,N108)</f>
        <v/>
      </c>
      <c r="P108" s="20">
        <f>N108/O108-1</f>
        <v/>
      </c>
    </row>
    <row r="109">
      <c r="A109" s="18" t="inlineStr">
        <is>
          <t>2024-05-24</t>
        </is>
      </c>
      <c r="B109" s="19" t="n">
        <v>0.01658807931997153</v>
      </c>
      <c r="C109" s="19" t="n">
        <v>0.007400527725978323</v>
      </c>
      <c r="D109" s="19" t="n">
        <v>0.01924633904513007</v>
      </c>
      <c r="E109" s="19" t="n">
        <v>-0.01823652682601062</v>
      </c>
      <c r="F109" s="19" t="n">
        <v>-0.0007928959527776502</v>
      </c>
      <c r="G109" s="19" t="n">
        <v>-0.0009668636747672821</v>
      </c>
      <c r="H109" s="19" t="n">
        <v>-0.001657017656453985</v>
      </c>
      <c r="I109" s="19" t="n">
        <v>0.01712675389172924</v>
      </c>
      <c r="J109" s="19" t="n">
        <v>-0.005132692546047646</v>
      </c>
      <c r="K109" s="19" t="n">
        <v>0.007862085046657752</v>
      </c>
      <c r="L109" s="19" t="n">
        <v>0.006616696468860983</v>
      </c>
      <c r="M109" s="20">
        <f>SUMPRODUCT($B$3:$K$3,B109:K109)</f>
        <v/>
      </c>
      <c r="N109" s="21">
        <f>N108*(1+M109)</f>
        <v/>
      </c>
      <c r="O109" s="21">
        <f>MAX(O108,N109)</f>
        <v/>
      </c>
      <c r="P109" s="20">
        <f>N109/O109-1</f>
        <v/>
      </c>
    </row>
    <row r="110">
      <c r="A110" s="18" t="inlineStr">
        <is>
          <t>2024-05-28</t>
        </is>
      </c>
      <c r="B110" s="19" t="n">
        <v>5.278535593133959e-05</v>
      </c>
      <c r="C110" s="19" t="n">
        <v>0.0003719502712884459</v>
      </c>
      <c r="D110" s="19" t="n">
        <v>-0.006028461219342307</v>
      </c>
      <c r="E110" s="19" t="n">
        <v>-0.01762252156201705</v>
      </c>
      <c r="F110" s="19" t="n">
        <v>0.01269632987395131</v>
      </c>
      <c r="G110" s="19" t="n">
        <v>-0.01342757977436437</v>
      </c>
      <c r="H110" s="19" t="n">
        <v>0.007745471073219434</v>
      </c>
      <c r="I110" s="19" t="n">
        <v>0.01200886178043103</v>
      </c>
      <c r="J110" s="19" t="n">
        <v>-0.006964563980883742</v>
      </c>
      <c r="K110" s="19" t="n">
        <v>-0.009562186916461712</v>
      </c>
      <c r="L110" s="19" t="n">
        <v>0.0006985875855074486</v>
      </c>
      <c r="M110" s="20">
        <f>SUMPRODUCT($B$3:$K$3,B110:K110)</f>
        <v/>
      </c>
      <c r="N110" s="21">
        <f>N109*(1+M110)</f>
        <v/>
      </c>
      <c r="O110" s="21">
        <f>MAX(O109,N110)</f>
        <v/>
      </c>
      <c r="P110" s="20">
        <f>N110/O110-1</f>
        <v/>
      </c>
    </row>
    <row r="111">
      <c r="A111" s="18" t="inlineStr">
        <is>
          <t>2024-05-29</t>
        </is>
      </c>
      <c r="B111" s="19" t="n">
        <v>0.001578936657429697</v>
      </c>
      <c r="C111" s="19" t="n">
        <v>-0.002672470743983468</v>
      </c>
      <c r="D111" s="19" t="n">
        <v>-0.006967484803781065</v>
      </c>
      <c r="E111" s="19" t="n">
        <v>0.0004155675166259698</v>
      </c>
      <c r="F111" s="19" t="n">
        <v>-0.01070885625017615</v>
      </c>
      <c r="G111" s="19" t="n">
        <v>-0.0089511164112972</v>
      </c>
      <c r="H111" s="19" t="n">
        <v>-0.000713640562059914</v>
      </c>
      <c r="I111" s="19" t="n">
        <v>-0.01096343793585119</v>
      </c>
      <c r="J111" s="19" t="n">
        <v>-0.02412926813216798</v>
      </c>
      <c r="K111" s="19" t="n">
        <v>-0.006605802675607841</v>
      </c>
      <c r="L111" s="19" t="n">
        <v>-0.00700240693839671</v>
      </c>
      <c r="M111" s="20">
        <f>SUMPRODUCT($B$3:$K$3,B111:K111)</f>
        <v/>
      </c>
      <c r="N111" s="21">
        <f>N110*(1+M111)</f>
        <v/>
      </c>
      <c r="O111" s="21">
        <f>MAX(O110,N111)</f>
        <v/>
      </c>
      <c r="P111" s="20">
        <f>N111/O111-1</f>
        <v/>
      </c>
    </row>
    <row r="112">
      <c r="A112" s="18" t="inlineStr">
        <is>
          <t>2024-05-30</t>
        </is>
      </c>
      <c r="B112" s="19" t="n">
        <v>0.00525512197716349</v>
      </c>
      <c r="C112" s="19" t="n">
        <v>-0.03378611354226846</v>
      </c>
      <c r="D112" s="19" t="n">
        <v>0.006158017613036026</v>
      </c>
      <c r="E112" s="19" t="n">
        <v>0.005815528488033461</v>
      </c>
      <c r="F112" s="19" t="n">
        <v>0.003168306686025302</v>
      </c>
      <c r="G112" s="19" t="n">
        <v>0.005753170522943885</v>
      </c>
      <c r="H112" s="19" t="n">
        <v>-0.0148335176621609</v>
      </c>
      <c r="I112" s="19" t="n">
        <v>0.01969232966706813</v>
      </c>
      <c r="J112" s="19" t="n">
        <v>0.003371821459829061</v>
      </c>
      <c r="K112" s="19" t="n">
        <v>0.0314579312276817</v>
      </c>
      <c r="L112" s="19" t="n">
        <v>-0.006633627623084948</v>
      </c>
      <c r="M112" s="20">
        <f>SUMPRODUCT($B$3:$K$3,B112:K112)</f>
        <v/>
      </c>
      <c r="N112" s="21">
        <f>N111*(1+M112)</f>
        <v/>
      </c>
      <c r="O112" s="21">
        <f>MAX(O111,N112)</f>
        <v/>
      </c>
      <c r="P112" s="20">
        <f>N112/O112-1</f>
        <v/>
      </c>
    </row>
    <row r="113">
      <c r="A113" s="18" t="inlineStr">
        <is>
          <t>2024-05-31</t>
        </is>
      </c>
      <c r="B113" s="19" t="n">
        <v>0.005018518267986272</v>
      </c>
      <c r="C113" s="19" t="n">
        <v>0.00110930288117661</v>
      </c>
      <c r="D113" s="19" t="n">
        <v>0.01655564706482493</v>
      </c>
      <c r="E113" s="19" t="n">
        <v>0.009567655299432376</v>
      </c>
      <c r="F113" s="19" t="n">
        <v>0.02868676071191056</v>
      </c>
      <c r="G113" s="19" t="n">
        <v>0.01205527891428848</v>
      </c>
      <c r="H113" s="19" t="n">
        <v>-0.01606070022964767</v>
      </c>
      <c r="I113" s="19" t="n">
        <v>0.02340447438542581</v>
      </c>
      <c r="J113" s="19" t="n">
        <v>-0.002151791519425128</v>
      </c>
      <c r="K113" s="19" t="n">
        <v>0.02033212156922581</v>
      </c>
      <c r="L113" s="19" t="n">
        <v>0.009107864754057893</v>
      </c>
      <c r="M113" s="20">
        <f>SUMPRODUCT($B$3:$K$3,B113:K113)</f>
        <v/>
      </c>
      <c r="N113" s="21">
        <f>N112*(1+M113)</f>
        <v/>
      </c>
      <c r="O113" s="21">
        <f>MAX(O112,N113)</f>
        <v/>
      </c>
      <c r="P113" s="20">
        <f>N113/O113-1</f>
        <v/>
      </c>
    </row>
    <row r="114">
      <c r="A114" s="18" t="inlineStr">
        <is>
          <t>2024-06-03</t>
        </is>
      </c>
      <c r="B114" s="19" t="n">
        <v>0.009258891272729608</v>
      </c>
      <c r="C114" s="19" t="n">
        <v>-0.003878257921432704</v>
      </c>
      <c r="D114" s="19" t="n">
        <v>-0.003997514572299354</v>
      </c>
      <c r="E114" s="19" t="n">
        <v>0.007295374649925801</v>
      </c>
      <c r="F114" s="19" t="n">
        <v>-0.02396405154510206</v>
      </c>
      <c r="G114" s="19" t="n">
        <v>0.000668679960180496</v>
      </c>
      <c r="H114" s="19" t="n">
        <v>0.01076849847083472</v>
      </c>
      <c r="I114" s="19" t="n">
        <v>-0.02257735021719531</v>
      </c>
      <c r="J114" s="19" t="n">
        <v>-0.02115108530407073</v>
      </c>
      <c r="K114" s="19" t="n">
        <v>-0.004131309915272663</v>
      </c>
      <c r="L114" s="19" t="n">
        <v>0.0008154776805879838</v>
      </c>
      <c r="M114" s="20">
        <f>SUMPRODUCT($B$3:$K$3,B114:K114)</f>
        <v/>
      </c>
      <c r="N114" s="21">
        <f>N113*(1+M114)</f>
        <v/>
      </c>
      <c r="O114" s="21">
        <f>MAX(O113,N114)</f>
        <v/>
      </c>
      <c r="P114" s="20">
        <f>N114/O114-1</f>
        <v/>
      </c>
    </row>
    <row r="115">
      <c r="A115" s="18" t="inlineStr">
        <is>
          <t>2024-06-04</t>
        </is>
      </c>
      <c r="B115" s="19" t="n">
        <v>0.001649110399732034</v>
      </c>
      <c r="C115" s="19" t="n">
        <v>0.006166497690661465</v>
      </c>
      <c r="D115" s="19" t="n">
        <v>-0.0131800062598969</v>
      </c>
      <c r="E115" s="19" t="n">
        <v>0.0004060065683866299</v>
      </c>
      <c r="F115" s="19" t="n">
        <v>-0.01555257397764553</v>
      </c>
      <c r="G115" s="19" t="n">
        <v>0.01433360547441453</v>
      </c>
      <c r="H115" s="19" t="n">
        <v>0.00560726713319748</v>
      </c>
      <c r="I115" s="19" t="n">
        <v>-0.007206176411181597</v>
      </c>
      <c r="J115" s="19" t="n">
        <v>-0.01143777561547432</v>
      </c>
      <c r="K115" s="19" t="n">
        <v>0.01415337135322692</v>
      </c>
      <c r="L115" s="19" t="n">
        <v>0.00111792754567519</v>
      </c>
      <c r="M115" s="20">
        <f>SUMPRODUCT($B$3:$K$3,B115:K115)</f>
        <v/>
      </c>
      <c r="N115" s="21">
        <f>N114*(1+M115)</f>
        <v/>
      </c>
      <c r="O115" s="21">
        <f>MAX(O114,N115)</f>
        <v/>
      </c>
      <c r="P115" s="20">
        <f>N115/O115-1</f>
        <v/>
      </c>
    </row>
    <row r="116">
      <c r="A116" s="18" t="inlineStr">
        <is>
          <t>2024-06-05</t>
        </is>
      </c>
      <c r="B116" s="19" t="n">
        <v>0.007821011815018375</v>
      </c>
      <c r="C116" s="19" t="n">
        <v>0.01908347832187962</v>
      </c>
      <c r="D116" s="19" t="n">
        <v>-0.009540062216435885</v>
      </c>
      <c r="E116" s="19" t="n">
        <v>-0.01238146888595659</v>
      </c>
      <c r="F116" s="19" t="n">
        <v>0.003994036600600381</v>
      </c>
      <c r="G116" s="19" t="n">
        <v>-0.005748190194142855</v>
      </c>
      <c r="H116" s="19" t="n">
        <v>0.01081745556496583</v>
      </c>
      <c r="I116" s="19" t="n">
        <v>-0.001296285758055293</v>
      </c>
      <c r="J116" s="19" t="n">
        <v>0.005739417538431102</v>
      </c>
      <c r="K116" s="19" t="n">
        <v>-0.005052779943653274</v>
      </c>
      <c r="L116" s="19" t="n">
        <v>0.01188520062348508</v>
      </c>
      <c r="M116" s="20">
        <f>SUMPRODUCT($B$3:$K$3,B116:K116)</f>
        <v/>
      </c>
      <c r="N116" s="21">
        <f>N115*(1+M116)</f>
        <v/>
      </c>
      <c r="O116" s="21">
        <f>MAX(O115,N116)</f>
        <v/>
      </c>
      <c r="P116" s="20">
        <f>N116/O116-1</f>
        <v/>
      </c>
    </row>
    <row r="117">
      <c r="A117" s="18" t="inlineStr">
        <is>
          <t>2024-06-06</t>
        </is>
      </c>
      <c r="B117" s="19" t="n">
        <v>-0.007096552515471366</v>
      </c>
      <c r="C117" s="19" t="n">
        <v>0.001202714394772375</v>
      </c>
      <c r="D117" s="19" t="n">
        <v>-0.001774274886411908</v>
      </c>
      <c r="E117" s="19" t="n">
        <v>0.003082639898717376</v>
      </c>
      <c r="F117" s="19" t="n">
        <v>0.007514117966433087</v>
      </c>
      <c r="G117" s="19" t="n">
        <v>0.01457386130244087</v>
      </c>
      <c r="H117" s="19" t="n">
        <v>0.02052074826650974</v>
      </c>
      <c r="I117" s="19" t="n">
        <v>-0.004542466175705195</v>
      </c>
      <c r="J117" s="19" t="n">
        <v>-0.003520989469158464</v>
      </c>
      <c r="K117" s="19" t="n">
        <v>-0.0004837169645365291</v>
      </c>
      <c r="L117" s="19" t="n">
        <v>-1.880405725740442e-05</v>
      </c>
      <c r="M117" s="20">
        <f>SUMPRODUCT($B$3:$K$3,B117:K117)</f>
        <v/>
      </c>
      <c r="N117" s="21">
        <f>N116*(1+M117)</f>
        <v/>
      </c>
      <c r="O117" s="21">
        <f>MAX(O116,N117)</f>
        <v/>
      </c>
      <c r="P117" s="20">
        <f>N117/O117-1</f>
        <v/>
      </c>
    </row>
    <row r="118">
      <c r="A118" s="18" t="inlineStr">
        <is>
          <t>2024-06-07</t>
        </is>
      </c>
      <c r="B118" s="19" t="n">
        <v>0.01239206615016086</v>
      </c>
      <c r="C118" s="19" t="n">
        <v>-0.001578234612834351</v>
      </c>
      <c r="D118" s="19" t="n">
        <v>0.01543848230613798</v>
      </c>
      <c r="E118" s="19" t="n">
        <v>0.004507665458688859</v>
      </c>
      <c r="F118" s="19" t="n">
        <v>-0.01070441991434667</v>
      </c>
      <c r="G118" s="19" t="n">
        <v>-0.008369362907877598</v>
      </c>
      <c r="H118" s="19" t="n">
        <v>-0.003783767287795614</v>
      </c>
      <c r="I118" s="19" t="n">
        <v>-0.01707940270357233</v>
      </c>
      <c r="J118" s="19" t="n">
        <v>0.001979961026453259</v>
      </c>
      <c r="K118" s="19" t="n">
        <v>-0.009436350489229084</v>
      </c>
      <c r="L118" s="19" t="n">
        <v>-0.001215587634313398</v>
      </c>
      <c r="M118" s="20">
        <f>SUMPRODUCT($B$3:$K$3,B118:K118)</f>
        <v/>
      </c>
      <c r="N118" s="21">
        <f>N117*(1+M118)</f>
        <v/>
      </c>
      <c r="O118" s="21">
        <f>MAX(O117,N118)</f>
        <v/>
      </c>
      <c r="P118" s="20">
        <f>N118/O118-1</f>
        <v/>
      </c>
    </row>
    <row r="119">
      <c r="A119" s="18" t="inlineStr">
        <is>
          <t>2024-06-10</t>
        </is>
      </c>
      <c r="B119" s="19" t="n">
        <v>-0.01914768519768162</v>
      </c>
      <c r="C119" s="19" t="n">
        <v>0.009484376247881787</v>
      </c>
      <c r="D119" s="19" t="n">
        <v>-0.001700429921073998</v>
      </c>
      <c r="E119" s="19" t="n">
        <v>0.0003400777676862976</v>
      </c>
      <c r="F119" s="19" t="n">
        <v>0.002926711700534268</v>
      </c>
      <c r="G119" s="19" t="n">
        <v>0.001735947120141246</v>
      </c>
      <c r="H119" s="19" t="n">
        <v>0.01497555323458566</v>
      </c>
      <c r="I119" s="19" t="n">
        <v>0.0209574676009765</v>
      </c>
      <c r="J119" s="19" t="n">
        <v>0.00203677363674748</v>
      </c>
      <c r="K119" s="19" t="n">
        <v>-0.0129457406524458</v>
      </c>
      <c r="L119" s="19" t="n">
        <v>0.003089794793052159</v>
      </c>
      <c r="M119" s="20">
        <f>SUMPRODUCT($B$3:$K$3,B119:K119)</f>
        <v/>
      </c>
      <c r="N119" s="21">
        <f>N118*(1+M119)</f>
        <v/>
      </c>
      <c r="O119" s="21">
        <f>MAX(O118,N119)</f>
        <v/>
      </c>
      <c r="P119" s="20">
        <f>N119/O119-1</f>
        <v/>
      </c>
    </row>
    <row r="120">
      <c r="A120" s="18" t="inlineStr">
        <is>
          <t>2024-06-11</t>
        </is>
      </c>
      <c r="B120" s="19" t="n">
        <v>0.07264895498120438</v>
      </c>
      <c r="C120" s="19" t="n">
        <v>0.01124160175078703</v>
      </c>
      <c r="D120" s="19" t="n">
        <v>-0.02630135739872452</v>
      </c>
      <c r="E120" s="19" t="n">
        <v>-0.002514749250334902</v>
      </c>
      <c r="F120" s="19" t="n">
        <v>-0.008047431537406946</v>
      </c>
      <c r="G120" s="19" t="n">
        <v>0.000776724482282054</v>
      </c>
      <c r="H120" s="19" t="n">
        <v>0.0009087895389929823</v>
      </c>
      <c r="I120" s="19" t="n">
        <v>-0.05495642820837376</v>
      </c>
      <c r="J120" s="19" t="n">
        <v>-0.006977959188962823</v>
      </c>
      <c r="K120" s="19" t="n">
        <v>0.0002473204400006423</v>
      </c>
      <c r="L120" s="19" t="n">
        <v>0.002408218984282673</v>
      </c>
      <c r="M120" s="20">
        <f>SUMPRODUCT($B$3:$K$3,B120:K120)</f>
        <v/>
      </c>
      <c r="N120" s="21">
        <f>N119*(1+M120)</f>
        <v/>
      </c>
      <c r="O120" s="21">
        <f>MAX(O119,N120)</f>
        <v/>
      </c>
      <c r="P120" s="20">
        <f>N120/O120-1</f>
        <v/>
      </c>
    </row>
    <row r="121">
      <c r="A121" s="18" t="inlineStr">
        <is>
          <t>2024-06-12</t>
        </is>
      </c>
      <c r="B121" s="19" t="n">
        <v>0.02857856951957349</v>
      </c>
      <c r="C121" s="19" t="n">
        <v>0.01936794201969838</v>
      </c>
      <c r="D121" s="19" t="n">
        <v>-0.01456055474671358</v>
      </c>
      <c r="E121" s="19" t="n">
        <v>-0.009198801669859424</v>
      </c>
      <c r="F121" s="19" t="n">
        <v>-0.01105470963906674</v>
      </c>
      <c r="G121" s="19" t="n">
        <v>-0.01373308709230281</v>
      </c>
      <c r="H121" s="19" t="n">
        <v>-0.001815928780906306</v>
      </c>
      <c r="I121" s="19" t="n">
        <v>-0.006598798557086005</v>
      </c>
      <c r="J121" s="19" t="n">
        <v>0.004338327770968764</v>
      </c>
      <c r="K121" s="19" t="n">
        <v>-0.01608114916405912</v>
      </c>
      <c r="L121" s="19" t="n">
        <v>0.008212790368639977</v>
      </c>
      <c r="M121" s="20">
        <f>SUMPRODUCT($B$3:$K$3,B121:K121)</f>
        <v/>
      </c>
      <c r="N121" s="21">
        <f>N120*(1+M121)</f>
        <v/>
      </c>
      <c r="O121" s="21">
        <f>MAX(O120,N121)</f>
        <v/>
      </c>
      <c r="P121" s="20">
        <f>N121/O121-1</f>
        <v/>
      </c>
    </row>
    <row r="122">
      <c r="A122" s="18" t="inlineStr">
        <is>
          <t>2024-06-13</t>
        </is>
      </c>
      <c r="B122" s="19" t="n">
        <v>0.005490999903339455</v>
      </c>
      <c r="C122" s="19" t="n">
        <v>0.0011789640536366</v>
      </c>
      <c r="D122" s="19" t="n">
        <v>0.01112106877656394</v>
      </c>
      <c r="E122" s="19" t="n">
        <v>0.0002751198054673498</v>
      </c>
      <c r="F122" s="19" t="n">
        <v>-0.008022967580667673</v>
      </c>
      <c r="G122" s="19" t="n">
        <v>0.00744654368361064</v>
      </c>
      <c r="H122" s="19" t="n">
        <v>-0.01637325468771578</v>
      </c>
      <c r="I122" s="19" t="n">
        <v>0.01273190849672767</v>
      </c>
      <c r="J122" s="19" t="n">
        <v>-0.007209504316482929</v>
      </c>
      <c r="K122" s="19" t="n">
        <v>0.0002515227798167707</v>
      </c>
      <c r="L122" s="19" t="n">
        <v>0.002013635100023059</v>
      </c>
      <c r="M122" s="20">
        <f>SUMPRODUCT($B$3:$K$3,B122:K122)</f>
        <v/>
      </c>
      <c r="N122" s="21">
        <f>N121*(1+M122)</f>
        <v/>
      </c>
      <c r="O122" s="21">
        <f>MAX(O121,N122)</f>
        <v/>
      </c>
      <c r="P122" s="20">
        <f>N122/O122-1</f>
        <v/>
      </c>
    </row>
    <row r="123">
      <c r="A123" s="18" t="inlineStr">
        <is>
          <t>2024-06-14</t>
        </is>
      </c>
      <c r="B123" s="19" t="n">
        <v>-0.008168475691943344</v>
      </c>
      <c r="C123" s="19" t="n">
        <v>0.002242063688814966</v>
      </c>
      <c r="D123" s="19" t="n">
        <v>0.000619590962640526</v>
      </c>
      <c r="E123" s="19" t="n">
        <v>0.0006187098298877647</v>
      </c>
      <c r="F123" s="19" t="n">
        <v>-0.008451499353676395</v>
      </c>
      <c r="G123" s="19" t="n">
        <v>0.002283557587028806</v>
      </c>
      <c r="H123" s="19" t="n">
        <v>-0.0009247574783879386</v>
      </c>
      <c r="I123" s="19" t="n">
        <v>-0.001639863931252372</v>
      </c>
      <c r="J123" s="19" t="n">
        <v>-0.01498342985497758</v>
      </c>
      <c r="K123" s="19" t="n">
        <v>-0.002765054792176369</v>
      </c>
      <c r="L123" s="19" t="n">
        <v>0.0006083905301905723</v>
      </c>
      <c r="M123" s="20">
        <f>SUMPRODUCT($B$3:$K$3,B123:K123)</f>
        <v/>
      </c>
      <c r="N123" s="21">
        <f>N122*(1+M123)</f>
        <v/>
      </c>
      <c r="O123" s="21">
        <f>MAX(O122,N123)</f>
        <v/>
      </c>
      <c r="P123" s="20">
        <f>N123/O123-1</f>
        <v/>
      </c>
    </row>
    <row r="124">
      <c r="A124" s="18" t="inlineStr">
        <is>
          <t>2024-06-17</t>
        </is>
      </c>
      <c r="B124" s="19" t="n">
        <v>0.01967167193987751</v>
      </c>
      <c r="C124" s="19" t="n">
        <v>0.01310511606862241</v>
      </c>
      <c r="D124" s="19" t="n">
        <v>0.006192485603739417</v>
      </c>
      <c r="E124" s="19" t="n">
        <v>0.002817096787898654</v>
      </c>
      <c r="F124" s="19" t="n">
        <v>-0.006873795122502635</v>
      </c>
      <c r="G124" s="19" t="n">
        <v>0.004256749753684064</v>
      </c>
      <c r="H124" s="19" t="n">
        <v>0.002177904217078641</v>
      </c>
      <c r="I124" s="19" t="n">
        <v>-0.01026573353911109</v>
      </c>
      <c r="J124" s="19" t="n">
        <v>0.002892947367331145</v>
      </c>
      <c r="K124" s="19" t="n">
        <v>-0.005293954834189374</v>
      </c>
      <c r="L124" s="19" t="n">
        <v>0.007959026912321532</v>
      </c>
      <c r="M124" s="20">
        <f>SUMPRODUCT($B$3:$K$3,B124:K124)</f>
        <v/>
      </c>
      <c r="N124" s="21">
        <f>N123*(1+M124)</f>
        <v/>
      </c>
      <c r="O124" s="21">
        <f>MAX(O123,N124)</f>
        <v/>
      </c>
      <c r="P124" s="20">
        <f>N124/O124-1</f>
        <v/>
      </c>
    </row>
    <row r="125">
      <c r="A125" s="18" t="inlineStr">
        <is>
          <t>2024-06-18</t>
        </is>
      </c>
      <c r="B125" s="19" t="n">
        <v>-0.01098452338498268</v>
      </c>
      <c r="C125" s="19" t="n">
        <v>-0.00452752702770931</v>
      </c>
      <c r="D125" s="19" t="n">
        <v>0.01036014428402865</v>
      </c>
      <c r="E125" s="19" t="n">
        <v>-0.002055597427600975</v>
      </c>
      <c r="F125" s="19" t="n">
        <v>0.009413034576889912</v>
      </c>
      <c r="G125" s="19" t="n">
        <v>0.006328365219391507</v>
      </c>
      <c r="H125" s="19" t="n">
        <v>-0.006791263808433312</v>
      </c>
      <c r="I125" s="19" t="n">
        <v>-0.02586074636129443</v>
      </c>
      <c r="J125" s="19" t="n">
        <v>0.008498914730585172</v>
      </c>
      <c r="K125" s="19" t="n">
        <v>0.01571233098448377</v>
      </c>
      <c r="L125" s="19" t="n">
        <v>0.002540597297640668</v>
      </c>
      <c r="M125" s="20">
        <f>SUMPRODUCT($B$3:$K$3,B125:K125)</f>
        <v/>
      </c>
      <c r="N125" s="21">
        <f>N124*(1+M125)</f>
        <v/>
      </c>
      <c r="O125" s="21">
        <f>MAX(O124,N125)</f>
        <v/>
      </c>
      <c r="P125" s="20">
        <f>N125/O125-1</f>
        <v/>
      </c>
    </row>
    <row r="126">
      <c r="A126" s="18" t="inlineStr">
        <is>
          <t>2024-06-20</t>
        </is>
      </c>
      <c r="B126" s="19" t="n">
        <v>-0.02151295828138444</v>
      </c>
      <c r="C126" s="19" t="n">
        <v>-0.001433937300014843</v>
      </c>
      <c r="D126" s="19" t="n">
        <v>0.008477052259519224</v>
      </c>
      <c r="E126" s="19" t="n">
        <v>0.01462429188413417</v>
      </c>
      <c r="F126" s="19" t="n">
        <v>0.02157608604795813</v>
      </c>
      <c r="G126" s="19" t="n">
        <v>-0.0052800102883932</v>
      </c>
      <c r="H126" s="19" t="n">
        <v>0.01799687428947849</v>
      </c>
      <c r="I126" s="19" t="n">
        <v>0.02867693074797883</v>
      </c>
      <c r="J126" s="19" t="n">
        <v>0.01227170107595943</v>
      </c>
      <c r="K126" s="19" t="n">
        <v>0.003991913826892901</v>
      </c>
      <c r="L126" s="19" t="n">
        <v>-0.002716430584320695</v>
      </c>
      <c r="M126" s="20">
        <f>SUMPRODUCT($B$3:$K$3,B126:K126)</f>
        <v/>
      </c>
      <c r="N126" s="21">
        <f>N125*(1+M126)</f>
        <v/>
      </c>
      <c r="O126" s="21">
        <f>MAX(O125,N126)</f>
        <v/>
      </c>
      <c r="P126" s="20">
        <f>N126/O126-1</f>
        <v/>
      </c>
    </row>
    <row r="127">
      <c r="A127" s="18" t="inlineStr">
        <is>
          <t>2024-06-21</t>
        </is>
      </c>
      <c r="B127" s="19" t="n">
        <v>-0.0104444404446572</v>
      </c>
      <c r="C127" s="19" t="n">
        <v>0.009154242070298579</v>
      </c>
      <c r="D127" s="19" t="n">
        <v>-0.01192908074463384</v>
      </c>
      <c r="E127" s="19" t="n">
        <v>0.006563753120824689</v>
      </c>
      <c r="F127" s="19" t="n">
        <v>-0.008770338564392577</v>
      </c>
      <c r="G127" s="19" t="n">
        <v>0.003518882553562586</v>
      </c>
      <c r="H127" s="19" t="n">
        <v>0.01601287280926522</v>
      </c>
      <c r="I127" s="19" t="n">
        <v>0.004830209736252256</v>
      </c>
      <c r="J127" s="19" t="n">
        <v>-0.003919470034671524</v>
      </c>
      <c r="K127" s="19" t="n">
        <v>0</v>
      </c>
      <c r="L127" s="19" t="n">
        <v>-0.001340720179602073</v>
      </c>
      <c r="M127" s="20">
        <f>SUMPRODUCT($B$3:$K$3,B127:K127)</f>
        <v/>
      </c>
      <c r="N127" s="21">
        <f>N126*(1+M127)</f>
        <v/>
      </c>
      <c r="O127" s="21">
        <f>MAX(O126,N127)</f>
        <v/>
      </c>
      <c r="P127" s="20">
        <f>N127/O127-1</f>
        <v/>
      </c>
    </row>
    <row r="128">
      <c r="A128" s="18" t="inlineStr">
        <is>
          <t>2024-06-24</t>
        </is>
      </c>
      <c r="B128" s="19" t="n">
        <v>0.003132668387421988</v>
      </c>
      <c r="C128" s="19" t="n">
        <v>-0.004691196337576087</v>
      </c>
      <c r="D128" s="19" t="n">
        <v>0.01314298675960268</v>
      </c>
      <c r="E128" s="19" t="n">
        <v>0.002487470997325492</v>
      </c>
      <c r="F128" s="19" t="n">
        <v>0.02970389753762959</v>
      </c>
      <c r="G128" s="19" t="n">
        <v>0.001129080604280519</v>
      </c>
      <c r="H128" s="19" t="n">
        <v>-0.0185635417434159</v>
      </c>
      <c r="I128" s="19" t="n">
        <v>0.01428370699785297</v>
      </c>
      <c r="J128" s="19" t="n">
        <v>0.006588363508444495</v>
      </c>
      <c r="K128" s="19" t="n">
        <v>0.02311137464758151</v>
      </c>
      <c r="L128" s="19" t="n">
        <v>-0.003250644860578467</v>
      </c>
      <c r="M128" s="20">
        <f>SUMPRODUCT($B$3:$K$3,B128:K128)</f>
        <v/>
      </c>
      <c r="N128" s="21">
        <f>N127*(1+M128)</f>
        <v/>
      </c>
      <c r="O128" s="21">
        <f>MAX(O127,N128)</f>
        <v/>
      </c>
      <c r="P128" s="20">
        <f>N128/O128-1</f>
        <v/>
      </c>
    </row>
    <row r="129">
      <c r="A129" s="18" t="inlineStr">
        <is>
          <t>2024-06-25</t>
        </is>
      </c>
      <c r="B129" s="19" t="n">
        <v>0.004468147730627425</v>
      </c>
      <c r="C129" s="19" t="n">
        <v>0.007326809036857895</v>
      </c>
      <c r="D129" s="19" t="n">
        <v>-0.004072890134544149</v>
      </c>
      <c r="E129" s="19" t="n">
        <v>-0.01294260884972276</v>
      </c>
      <c r="F129" s="19" t="n">
        <v>0.002805781469993773</v>
      </c>
      <c r="G129" s="19" t="n">
        <v>-0.00949826043959856</v>
      </c>
      <c r="H129" s="19" t="n">
        <v>0.004149318226444931</v>
      </c>
      <c r="I129" s="19" t="n">
        <v>-0.01178046389492082</v>
      </c>
      <c r="J129" s="19" t="n">
        <v>-0.007878710702095448</v>
      </c>
      <c r="K129" s="19" t="n">
        <v>-0.002185975165561294</v>
      </c>
      <c r="L129" s="19" t="n">
        <v>0.003850737666635462</v>
      </c>
      <c r="M129" s="20">
        <f>SUMPRODUCT($B$3:$K$3,B129:K129)</f>
        <v/>
      </c>
      <c r="N129" s="21">
        <f>N128*(1+M129)</f>
        <v/>
      </c>
      <c r="O129" s="21">
        <f>MAX(O128,N129)</f>
        <v/>
      </c>
      <c r="P129" s="20">
        <f>N129/O129-1</f>
        <v/>
      </c>
    </row>
    <row r="130">
      <c r="A130" s="18" t="inlineStr">
        <is>
          <t>2024-06-26</t>
        </is>
      </c>
      <c r="B130" s="19" t="n">
        <v>0.01999331576609786</v>
      </c>
      <c r="C130" s="19" t="n">
        <v>0.002683261757649102</v>
      </c>
      <c r="D130" s="19" t="n">
        <v>-0.003231180773384801</v>
      </c>
      <c r="E130" s="19" t="n">
        <v>-0.002513834413962024</v>
      </c>
      <c r="F130" s="19" t="n">
        <v>0.0003497324238666</v>
      </c>
      <c r="G130" s="19" t="n">
        <v>0.003596088406639719</v>
      </c>
      <c r="H130" s="19" t="n">
        <v>0.03901472799901873</v>
      </c>
      <c r="I130" s="19" t="n">
        <v>0.005343912225906911</v>
      </c>
      <c r="J130" s="19" t="n">
        <v>-0.002046354161820307</v>
      </c>
      <c r="K130" s="19" t="n">
        <v>-0.001460688749985062</v>
      </c>
      <c r="L130" s="19" t="n">
        <v>0.001248266934606779</v>
      </c>
      <c r="M130" s="20">
        <f>SUMPRODUCT($B$3:$K$3,B130:K130)</f>
        <v/>
      </c>
      <c r="N130" s="21">
        <f>N129*(1+M130)</f>
        <v/>
      </c>
      <c r="O130" s="21">
        <f>MAX(O129,N130)</f>
        <v/>
      </c>
      <c r="P130" s="20">
        <f>N130/O130-1</f>
        <v/>
      </c>
    </row>
    <row r="131">
      <c r="A131" s="18" t="inlineStr">
        <is>
          <t>2024-06-27</t>
        </is>
      </c>
      <c r="B131" s="19" t="n">
        <v>0.003985888053604558</v>
      </c>
      <c r="C131" s="19" t="n">
        <v>0.001525990570012903</v>
      </c>
      <c r="D131" s="19" t="n">
        <v>0.008813366341043682</v>
      </c>
      <c r="E131" s="19" t="n">
        <v>-0.006947351456285333</v>
      </c>
      <c r="F131" s="19" t="n">
        <v>0.004282831890982441</v>
      </c>
      <c r="G131" s="19" t="n">
        <v>-0.004956728524342369</v>
      </c>
      <c r="H131" s="19" t="n">
        <v>0.02189972356695158</v>
      </c>
      <c r="I131" s="19" t="n">
        <v>0.00477041185628857</v>
      </c>
      <c r="J131" s="19" t="n">
        <v>0.002234150121776635</v>
      </c>
      <c r="K131" s="19" t="n">
        <v>-0.004875653907236543</v>
      </c>
      <c r="L131" s="19" t="n">
        <v>0.001576472463171052</v>
      </c>
      <c r="M131" s="20">
        <f>SUMPRODUCT($B$3:$K$3,B131:K131)</f>
        <v/>
      </c>
      <c r="N131" s="21">
        <f>N130*(1+M131)</f>
        <v/>
      </c>
      <c r="O131" s="21">
        <f>MAX(O130,N131)</f>
        <v/>
      </c>
      <c r="P131" s="20">
        <f>N131/O131-1</f>
        <v/>
      </c>
    </row>
    <row r="132">
      <c r="A132" s="18" t="inlineStr">
        <is>
          <t>2024-06-28</t>
        </is>
      </c>
      <c r="B132" s="19" t="n">
        <v>-0.01625410135242922</v>
      </c>
      <c r="C132" s="19" t="n">
        <v>-0.01302858103732552</v>
      </c>
      <c r="D132" s="19" t="n">
        <v>0.01551439486515038</v>
      </c>
      <c r="E132" s="19" t="n">
        <v>0.002469121235722627</v>
      </c>
      <c r="F132" s="19" t="n">
        <v>0.001914727062900745</v>
      </c>
      <c r="G132" s="19" t="n">
        <v>-0.01020301401681956</v>
      </c>
      <c r="H132" s="19" t="n">
        <v>-0.0232499669527878</v>
      </c>
      <c r="I132" s="19" t="n">
        <v>-0.03947394299016038</v>
      </c>
      <c r="J132" s="19" t="n">
        <v>0.01722355469623316</v>
      </c>
      <c r="K132" s="19" t="n">
        <v>0.01028919059984368</v>
      </c>
      <c r="L132" s="19" t="n">
        <v>-0.003935092412652108</v>
      </c>
      <c r="M132" s="20">
        <f>SUMPRODUCT($B$3:$K$3,B132:K132)</f>
        <v/>
      </c>
      <c r="N132" s="21">
        <f>N131*(1+M132)</f>
        <v/>
      </c>
      <c r="O132" s="21">
        <f>MAX(O131,N132)</f>
        <v/>
      </c>
      <c r="P132" s="20">
        <f>N132/O132-1</f>
        <v/>
      </c>
    </row>
    <row r="133">
      <c r="A133" s="18" t="inlineStr">
        <is>
          <t>2024-07-01</t>
        </is>
      </c>
      <c r="B133" s="19" t="n">
        <v>0.02910467066246669</v>
      </c>
      <c r="C133" s="19" t="n">
        <v>0.02188166322597218</v>
      </c>
      <c r="D133" s="19" t="n">
        <v>0.01577165528669355</v>
      </c>
      <c r="E133" s="19" t="n">
        <v>0.001915956626428406</v>
      </c>
      <c r="F133" s="19" t="n">
        <v>-0.001389886982023469</v>
      </c>
      <c r="G133" s="19" t="n">
        <v>-0.01333963894913648</v>
      </c>
      <c r="H133" s="19" t="n">
        <v>0.02043982896891161</v>
      </c>
      <c r="I133" s="19" t="n">
        <v>-0.01285113758662404</v>
      </c>
      <c r="J133" s="19" t="n">
        <v>-0.01206868151735818</v>
      </c>
      <c r="K133" s="19" t="n">
        <v>0.01212410868534852</v>
      </c>
      <c r="L133" s="19" t="n">
        <v>0.002058070220223307</v>
      </c>
      <c r="M133" s="20">
        <f>SUMPRODUCT($B$3:$K$3,B133:K133)</f>
        <v/>
      </c>
      <c r="N133" s="21">
        <f>N132*(1+M133)</f>
        <v/>
      </c>
      <c r="O133" s="21">
        <f>MAX(O132,N133)</f>
        <v/>
      </c>
      <c r="P133" s="20">
        <f>N133/O133-1</f>
        <v/>
      </c>
    </row>
    <row r="134">
      <c r="A134" s="18" t="inlineStr">
        <is>
          <t>2024-07-02</t>
        </is>
      </c>
      <c r="B134" s="19" t="n">
        <v>0.01623994255906247</v>
      </c>
      <c r="C134" s="19" t="n">
        <v>0.005583169617428663</v>
      </c>
      <c r="D134" s="19" t="n">
        <v>0.01645181232187087</v>
      </c>
      <c r="E134" s="19" t="n">
        <v>-0.002800004433017089</v>
      </c>
      <c r="F134" s="19" t="n">
        <v>-0.006784853205026753</v>
      </c>
      <c r="G134" s="19" t="n">
        <v>0.007251457609689371</v>
      </c>
      <c r="H134" s="19" t="n">
        <v>0.01419879865663853</v>
      </c>
      <c r="I134" s="19" t="n">
        <v>0.008154542796638076</v>
      </c>
      <c r="J134" s="19" t="n">
        <v>-0.004010925108719476</v>
      </c>
      <c r="K134" s="19" t="n">
        <v>-0.01533304535600555</v>
      </c>
      <c r="L134" s="19" t="n">
        <v>0.006729604332527339</v>
      </c>
      <c r="M134" s="20">
        <f>SUMPRODUCT($B$3:$K$3,B134:K134)</f>
        <v/>
      </c>
      <c r="N134" s="21">
        <f>N133*(1+M134)</f>
        <v/>
      </c>
      <c r="O134" s="21">
        <f>MAX(O133,N134)</f>
        <v/>
      </c>
      <c r="P134" s="20">
        <f>N134/O134-1</f>
        <v/>
      </c>
    </row>
    <row r="135">
      <c r="A135" s="18" t="inlineStr">
        <is>
          <t>2024-07-03</t>
        </is>
      </c>
      <c r="B135" s="19" t="n">
        <v>0.005810979690628493</v>
      </c>
      <c r="C135" s="19" t="n">
        <v>0.003244034920572902</v>
      </c>
      <c r="D135" s="19" t="n">
        <v>-0.0006705882695206</v>
      </c>
      <c r="E135" s="19" t="n">
        <v>-0.00232831199603023</v>
      </c>
      <c r="F135" s="19" t="n">
        <v>0.00507970190387752</v>
      </c>
      <c r="G135" s="19" t="n">
        <v>-0.0004268347171029196</v>
      </c>
      <c r="H135" s="19" t="n">
        <v>-0.01205001831054675</v>
      </c>
      <c r="I135" s="19" t="n">
        <v>0.01929891155091279</v>
      </c>
      <c r="J135" s="19" t="n">
        <v>0.008695309709141341</v>
      </c>
      <c r="K135" s="19" t="n">
        <v>0.0004866593497478977</v>
      </c>
      <c r="L135" s="19" t="n">
        <v>0.004462763867459474</v>
      </c>
      <c r="M135" s="20">
        <f>SUMPRODUCT($B$3:$K$3,B135:K135)</f>
        <v/>
      </c>
      <c r="N135" s="21">
        <f>N134*(1+M135)</f>
        <v/>
      </c>
      <c r="O135" s="21">
        <f>MAX(O134,N135)</f>
        <v/>
      </c>
      <c r="P135" s="20">
        <f>N135/O135-1</f>
        <v/>
      </c>
    </row>
    <row r="136">
      <c r="A136" s="18" t="inlineStr">
        <is>
          <t>2024-07-05</t>
        </is>
      </c>
      <c r="B136" s="19" t="n">
        <v>0.02162037873643219</v>
      </c>
      <c r="C136" s="19" t="n">
        <v>0.01473623380952671</v>
      </c>
      <c r="D136" s="19" t="n">
        <v>-0.01325045830786964</v>
      </c>
      <c r="E136" s="19" t="n">
        <v>0.005422533289294762</v>
      </c>
      <c r="F136" s="19" t="n">
        <v>-0.01211229228754174</v>
      </c>
      <c r="G136" s="19" t="n">
        <v>0.008423448948329693</v>
      </c>
      <c r="H136" s="19" t="n">
        <v>0.01219699229098681</v>
      </c>
      <c r="I136" s="19" t="n">
        <v>0.003619419173827243</v>
      </c>
      <c r="J136" s="19" t="n">
        <v>-0.006835921079543339</v>
      </c>
      <c r="K136" s="19" t="n">
        <v>0.00364768597200138</v>
      </c>
      <c r="L136" s="19" t="n">
        <v>0.005766264784089259</v>
      </c>
      <c r="M136" s="20">
        <f>SUMPRODUCT($B$3:$K$3,B136:K136)</f>
        <v/>
      </c>
      <c r="N136" s="21">
        <f>N135*(1+M136)</f>
        <v/>
      </c>
      <c r="O136" s="21">
        <f>MAX(O135,N136)</f>
        <v/>
      </c>
      <c r="P136" s="20">
        <f>N136/O136-1</f>
        <v/>
      </c>
    </row>
    <row r="137">
      <c r="A137" s="18" t="inlineStr">
        <is>
          <t>2024-07-08</t>
        </is>
      </c>
      <c r="B137" s="19" t="n">
        <v>0.006538941818329258</v>
      </c>
      <c r="C137" s="19" t="n">
        <v>-0.00282320068529951</v>
      </c>
      <c r="D137" s="19" t="n">
        <v>0.001855752545623313</v>
      </c>
      <c r="E137" s="19" t="n">
        <v>-0.006826866901633699</v>
      </c>
      <c r="F137" s="19" t="n">
        <v>-0.01049656755355344</v>
      </c>
      <c r="G137" s="19" t="n">
        <v>0.007929244807490132</v>
      </c>
      <c r="H137" s="19" t="n">
        <v>-0.00355003356933592</v>
      </c>
      <c r="I137" s="19" t="n">
        <v>0.0002777256775354786</v>
      </c>
      <c r="J137" s="19" t="n">
        <v>0.002162389140133003</v>
      </c>
      <c r="K137" s="19" t="n">
        <v>0.006299869234255073</v>
      </c>
      <c r="L137" s="19" t="n">
        <v>0.001154026710766365</v>
      </c>
      <c r="M137" s="20">
        <f>SUMPRODUCT($B$3:$K$3,B137:K137)</f>
        <v/>
      </c>
      <c r="N137" s="21">
        <f>N136*(1+M137)</f>
        <v/>
      </c>
      <c r="O137" s="21">
        <f>MAX(O136,N137)</f>
        <v/>
      </c>
      <c r="P137" s="20">
        <f>N137/O137-1</f>
        <v/>
      </c>
    </row>
    <row r="138">
      <c r="A138" s="18" t="inlineStr">
        <is>
          <t>2024-07-09</t>
        </is>
      </c>
      <c r="B138" s="19" t="n">
        <v>0.003774789232989573</v>
      </c>
      <c r="C138" s="19" t="n">
        <v>-0.01437018145883506</v>
      </c>
      <c r="D138" s="19" t="n">
        <v>0.01199006312223672</v>
      </c>
      <c r="E138" s="19" t="n">
        <v>0.01079200173671579</v>
      </c>
      <c r="F138" s="19" t="n">
        <v>-0.01105372381837255</v>
      </c>
      <c r="G138" s="19" t="n">
        <v>-0.005164601358001564</v>
      </c>
      <c r="H138" s="19" t="n">
        <v>0.0002509059834532312</v>
      </c>
      <c r="I138" s="19" t="n">
        <v>0.000138711326593155</v>
      </c>
      <c r="J138" s="19" t="n">
        <v>-0.009116898742580037</v>
      </c>
      <c r="K138" s="19" t="n">
        <v>-0.005538051647185016</v>
      </c>
      <c r="L138" s="19" t="n">
        <v>0.0009724431209321427</v>
      </c>
      <c r="M138" s="20">
        <f>SUMPRODUCT($B$3:$K$3,B138:K138)</f>
        <v/>
      </c>
      <c r="N138" s="21">
        <f>N137*(1+M138)</f>
        <v/>
      </c>
      <c r="O138" s="21">
        <f>MAX(O137,N138)</f>
        <v/>
      </c>
      <c r="P138" s="20">
        <f>N138/O138-1</f>
        <v/>
      </c>
    </row>
    <row r="139">
      <c r="A139" s="18" t="inlineStr">
        <is>
          <t>2024-07-10</t>
        </is>
      </c>
      <c r="B139" s="19" t="n">
        <v>0.01880344045123628</v>
      </c>
      <c r="C139" s="19" t="n">
        <v>0.01460165768747546</v>
      </c>
      <c r="D139" s="19" t="n">
        <v>0.0008186960746849881</v>
      </c>
      <c r="E139" s="19" t="n">
        <v>0.01618468861310718</v>
      </c>
      <c r="F139" s="19" t="n">
        <v>0.008833655862970913</v>
      </c>
      <c r="G139" s="19" t="n">
        <v>0.006881688166665123</v>
      </c>
      <c r="H139" s="19" t="n">
        <v>0.002257434315787732</v>
      </c>
      <c r="I139" s="19" t="n">
        <v>0.01081538524438153</v>
      </c>
      <c r="J139" s="19" t="n">
        <v>0.007422175520508167</v>
      </c>
      <c r="K139" s="19" t="n">
        <v>0.01095134175930856</v>
      </c>
      <c r="L139" s="19" t="n">
        <v>0.009895287551016096</v>
      </c>
      <c r="M139" s="20">
        <f>SUMPRODUCT($B$3:$K$3,B139:K139)</f>
        <v/>
      </c>
      <c r="N139" s="21">
        <f>N138*(1+M139)</f>
        <v/>
      </c>
      <c r="O139" s="21">
        <f>MAX(O138,N139)</f>
        <v/>
      </c>
      <c r="P139" s="20">
        <f>N139/O139-1</f>
        <v/>
      </c>
    </row>
    <row r="140">
      <c r="A140" s="18" t="inlineStr">
        <is>
          <t>2024-07-11</t>
        </is>
      </c>
      <c r="B140" s="19" t="n">
        <v>-0.02322074972342714</v>
      </c>
      <c r="C140" s="19" t="n">
        <v>-0.02477229216220911</v>
      </c>
      <c r="D140" s="19" t="n">
        <v>-0.001684410465136343</v>
      </c>
      <c r="E140" s="19" t="n">
        <v>0.001807018504182301</v>
      </c>
      <c r="F140" s="19" t="n">
        <v>0.01188334313501316</v>
      </c>
      <c r="G140" s="19" t="n">
        <v>-0.007554106829243956</v>
      </c>
      <c r="H140" s="19" t="n">
        <v>-0.02372486307453114</v>
      </c>
      <c r="I140" s="19" t="n">
        <v>0.02469120628851229</v>
      </c>
      <c r="J140" s="19" t="n">
        <v>0.008067382989721095</v>
      </c>
      <c r="K140" s="19" t="n">
        <v>0.005355162354065079</v>
      </c>
      <c r="L140" s="19" t="n">
        <v>-0.008622552942059936</v>
      </c>
      <c r="M140" s="20">
        <f>SUMPRODUCT($B$3:$K$3,B140:K140)</f>
        <v/>
      </c>
      <c r="N140" s="21">
        <f>N139*(1+M140)</f>
        <v/>
      </c>
      <c r="O140" s="21">
        <f>MAX(O139,N140)</f>
        <v/>
      </c>
      <c r="P140" s="20">
        <f>N140/O140-1</f>
        <v/>
      </c>
    </row>
    <row r="141">
      <c r="A141" s="18" t="inlineStr">
        <is>
          <t>2024-07-12</t>
        </is>
      </c>
      <c r="B141" s="19" t="n">
        <v>0.01305092652886941</v>
      </c>
      <c r="C141" s="19" t="n">
        <v>-0.002529110726967487</v>
      </c>
      <c r="D141" s="19" t="n">
        <v>-0.01209918076970562</v>
      </c>
      <c r="E141" s="19" t="n">
        <v>0.001202397640087227</v>
      </c>
      <c r="F141" s="19" t="n">
        <v>0.0001766679938486337</v>
      </c>
      <c r="G141" s="19" t="n">
        <v>0.006463679422327617</v>
      </c>
      <c r="H141" s="19" t="n">
        <v>-0.002871046141153522</v>
      </c>
      <c r="I141" s="19" t="n">
        <v>0.01740310728804872</v>
      </c>
      <c r="J141" s="19" t="n">
        <v>0.01346892586347703</v>
      </c>
      <c r="K141" s="19" t="n">
        <v>0.003147879133151177</v>
      </c>
      <c r="L141" s="19" t="n">
        <v>0.006307531646837727</v>
      </c>
      <c r="M141" s="20">
        <f>SUMPRODUCT($B$3:$K$3,B141:K141)</f>
        <v/>
      </c>
      <c r="N141" s="21">
        <f>N140*(1+M141)</f>
        <v/>
      </c>
      <c r="O141" s="21">
        <f>MAX(O140,N141)</f>
        <v/>
      </c>
      <c r="P141" s="20">
        <f>N141/O141-1</f>
        <v/>
      </c>
    </row>
    <row r="142">
      <c r="A142" s="18" t="inlineStr">
        <is>
          <t>2024-07-15</t>
        </is>
      </c>
      <c r="B142" s="19" t="n">
        <v>0.0167432758287982</v>
      </c>
      <c r="C142" s="19" t="n">
        <v>0.0009039691930148308</v>
      </c>
      <c r="D142" s="19" t="n">
        <v>0.0249340814217216</v>
      </c>
      <c r="E142" s="19" t="n">
        <v>-0.004270093396314345</v>
      </c>
      <c r="F142" s="19" t="n">
        <v>0.01712725312348495</v>
      </c>
      <c r="G142" s="19" t="n">
        <v>-0.0121840624263998</v>
      </c>
      <c r="H142" s="19" t="n">
        <v>-0.009100746683475047</v>
      </c>
      <c r="I142" s="19" t="n">
        <v>-0.06618439132851828</v>
      </c>
      <c r="J142" s="19" t="n">
        <v>0.0303346828059321</v>
      </c>
      <c r="K142" s="19" t="n">
        <v>-0.01544772440597064</v>
      </c>
      <c r="L142" s="19" t="n">
        <v>0.002750182680000934</v>
      </c>
      <c r="M142" s="20">
        <f>SUMPRODUCT($B$3:$K$3,B142:K142)</f>
        <v/>
      </c>
      <c r="N142" s="21">
        <f>N141*(1+M142)</f>
        <v/>
      </c>
      <c r="O142" s="21">
        <f>MAX(O141,N142)</f>
        <v/>
      </c>
      <c r="P142" s="20">
        <f>N142/O142-1</f>
        <v/>
      </c>
    </row>
    <row r="143">
      <c r="A143" s="18" t="inlineStr">
        <is>
          <t>2024-07-16</t>
        </is>
      </c>
      <c r="B143" s="19" t="n">
        <v>0.00179179458627643</v>
      </c>
      <c r="C143" s="19" t="n">
        <v>-0.009780483663552109</v>
      </c>
      <c r="D143" s="19" t="n">
        <v>0.01699598002266489</v>
      </c>
      <c r="E143" s="19" t="n">
        <v>0.01186018374188191</v>
      </c>
      <c r="F143" s="19" t="n">
        <v>0.00720414381327239</v>
      </c>
      <c r="G143" s="19" t="n">
        <v>0.01440014285852098</v>
      </c>
      <c r="H143" s="19" t="n">
        <v>0.001556678340896234</v>
      </c>
      <c r="I143" s="19" t="n">
        <v>0.01310427225650068</v>
      </c>
      <c r="J143" s="19" t="n">
        <v>0.04283199656871695</v>
      </c>
      <c r="K143" s="19" t="n">
        <v>0.0161804530582299</v>
      </c>
      <c r="L143" s="19" t="n">
        <v>0.005930116669278673</v>
      </c>
      <c r="M143" s="20">
        <f>SUMPRODUCT($B$3:$K$3,B143:K143)</f>
        <v/>
      </c>
      <c r="N143" s="21">
        <f>N142*(1+M143)</f>
        <v/>
      </c>
      <c r="O143" s="21">
        <f>MAX(O142,N143)</f>
        <v/>
      </c>
      <c r="P143" s="20">
        <f>N143/O143-1</f>
        <v/>
      </c>
    </row>
    <row r="144">
      <c r="A144" s="18" t="inlineStr">
        <is>
          <t>2024-07-17</t>
        </is>
      </c>
      <c r="B144" s="19" t="n">
        <v>-0.02529583563945415</v>
      </c>
      <c r="C144" s="19" t="n">
        <v>-0.01334762123797417</v>
      </c>
      <c r="D144" s="19" t="n">
        <v>0.01521387574420552</v>
      </c>
      <c r="E144" s="19" t="n">
        <v>0.03688476976748212</v>
      </c>
      <c r="F144" s="19" t="n">
        <v>0.01378832314699241</v>
      </c>
      <c r="G144" s="19" t="n">
        <v>0.0149148199398268</v>
      </c>
      <c r="H144" s="19" t="n">
        <v>-0.02637038381521717</v>
      </c>
      <c r="I144" s="19" t="n">
        <v>-0.01390824680754366</v>
      </c>
      <c r="J144" s="19" t="n">
        <v>-0.007710061012070279</v>
      </c>
      <c r="K144" s="19" t="n">
        <v>0.01399253173446291</v>
      </c>
      <c r="L144" s="19" t="n">
        <v>-0.01402112538697919</v>
      </c>
      <c r="M144" s="20">
        <f>SUMPRODUCT($B$3:$K$3,B144:K144)</f>
        <v/>
      </c>
      <c r="N144" s="21">
        <f>N143*(1+M144)</f>
        <v/>
      </c>
      <c r="O144" s="21">
        <f>MAX(O143,N144)</f>
        <v/>
      </c>
      <c r="P144" s="20">
        <f>N144/O144-1</f>
        <v/>
      </c>
    </row>
    <row r="145">
      <c r="A145" s="18" t="inlineStr">
        <is>
          <t>2024-07-18</t>
        </is>
      </c>
      <c r="B145" s="19" t="n">
        <v>-0.02053479121729507</v>
      </c>
      <c r="C145" s="19" t="n">
        <v>-0.007102259697870927</v>
      </c>
      <c r="D145" s="19" t="n">
        <v>-0.03177011759199477</v>
      </c>
      <c r="E145" s="19" t="n">
        <v>-0.007408275751415228</v>
      </c>
      <c r="F145" s="19" t="n">
        <v>0.009860808755138395</v>
      </c>
      <c r="G145" s="19" t="n">
        <v>-0.005901834279729123</v>
      </c>
      <c r="H145" s="19" t="n">
        <v>-0.02224228616340451</v>
      </c>
      <c r="I145" s="19" t="n">
        <v>0.01086018087242868</v>
      </c>
      <c r="J145" s="19" t="n">
        <v>-0.00494666365294183</v>
      </c>
      <c r="K145" s="19" t="n">
        <v>0.0009519782833056212</v>
      </c>
      <c r="L145" s="19" t="n">
        <v>-0.007684605698079494</v>
      </c>
      <c r="M145" s="20">
        <f>SUMPRODUCT($B$3:$K$3,B145:K145)</f>
        <v/>
      </c>
      <c r="N145" s="21">
        <f>N144*(1+M145)</f>
        <v/>
      </c>
      <c r="O145" s="21">
        <f>MAX(O144,N145)</f>
        <v/>
      </c>
      <c r="P145" s="20">
        <f>N145/O145-1</f>
        <v/>
      </c>
    </row>
    <row r="146">
      <c r="A146" s="18" t="inlineStr">
        <is>
          <t>2024-07-19</t>
        </is>
      </c>
      <c r="B146" s="19" t="n">
        <v>0.0005797375905784996</v>
      </c>
      <c r="C146" s="19" t="n">
        <v>-0.007402990674241661</v>
      </c>
      <c r="D146" s="19" t="n">
        <v>-0.0009524949666329663</v>
      </c>
      <c r="E146" s="19" t="n">
        <v>-0.004696800580670235</v>
      </c>
      <c r="F146" s="19" t="n">
        <v>-0.02297988668048812</v>
      </c>
      <c r="G146" s="19" t="n">
        <v>0.003147582308786756</v>
      </c>
      <c r="H146" s="19" t="n">
        <v>-0.003374123086734682</v>
      </c>
      <c r="I146" s="19" t="n">
        <v>0.004604667539048535</v>
      </c>
      <c r="J146" s="19" t="n">
        <v>-0.02359356776759569</v>
      </c>
      <c r="K146" s="19" t="n">
        <v>-0.01069677873682218</v>
      </c>
      <c r="L146" s="19" t="n">
        <v>-0.006640922457630927</v>
      </c>
      <c r="M146" s="20">
        <f>SUMPRODUCT($B$3:$K$3,B146:K146)</f>
        <v/>
      </c>
      <c r="N146" s="21">
        <f>N145*(1+M146)</f>
        <v/>
      </c>
      <c r="O146" s="21">
        <f>MAX(O145,N146)</f>
        <v/>
      </c>
      <c r="P146" s="20">
        <f>N146/O146-1</f>
        <v/>
      </c>
    </row>
    <row r="147">
      <c r="A147" s="18" t="inlineStr">
        <is>
          <t>2024-07-22</t>
        </is>
      </c>
      <c r="B147" s="19" t="n">
        <v>-0.001560202321548521</v>
      </c>
      <c r="C147" s="19" t="n">
        <v>0.01333780458476164</v>
      </c>
      <c r="D147" s="19" t="n">
        <v>0.002383545592282266</v>
      </c>
      <c r="E147" s="19" t="n">
        <v>-0.002909183615659172</v>
      </c>
      <c r="F147" s="19" t="n">
        <v>-0.006892484963222145</v>
      </c>
      <c r="G147" s="19" t="n">
        <v>0.001726486261029558</v>
      </c>
      <c r="H147" s="19" t="n">
        <v>-0.003167158934036185</v>
      </c>
      <c r="I147" s="19" t="n">
        <v>0.01250003676714306</v>
      </c>
      <c r="J147" s="19" t="n">
        <v>0.004765770295292571</v>
      </c>
      <c r="K147" s="19" t="n">
        <v>-0.06078802166771702</v>
      </c>
      <c r="L147" s="19" t="n">
        <v>0.01031012756938865</v>
      </c>
      <c r="M147" s="20">
        <f>SUMPRODUCT($B$3:$K$3,B147:K147)</f>
        <v/>
      </c>
      <c r="N147" s="21">
        <f>N146*(1+M147)</f>
        <v/>
      </c>
      <c r="O147" s="21">
        <f>MAX(O146,N147)</f>
        <v/>
      </c>
      <c r="P147" s="20">
        <f>N147/O147-1</f>
        <v/>
      </c>
    </row>
    <row r="148">
      <c r="A148" s="18" t="inlineStr">
        <is>
          <t>2024-07-23</t>
        </is>
      </c>
      <c r="B148" s="19" t="n">
        <v>0.004688196194830629</v>
      </c>
      <c r="C148" s="19" t="n">
        <v>0.00431190543030846</v>
      </c>
      <c r="D148" s="19" t="n">
        <v>0.0002376516777997661</v>
      </c>
      <c r="E148" s="19" t="n">
        <v>-0.01225340024122956</v>
      </c>
      <c r="F148" s="19" t="n">
        <v>-0.01613594048982747</v>
      </c>
      <c r="G148" s="19" t="n">
        <v>-0.009688070991868636</v>
      </c>
      <c r="H148" s="19" t="n">
        <v>0.02114489480045156</v>
      </c>
      <c r="I148" s="19" t="n">
        <v>-0.01083687238314324</v>
      </c>
      <c r="J148" s="19" t="n">
        <v>-0.01063611019070221</v>
      </c>
      <c r="K148" s="19" t="n">
        <v>-0.005116441403578476</v>
      </c>
      <c r="L148" s="19" t="n">
        <v>-0.001568675013359333</v>
      </c>
      <c r="M148" s="20">
        <f>SUMPRODUCT($B$3:$K$3,B148:K148)</f>
        <v/>
      </c>
      <c r="N148" s="21">
        <f>N147*(1+M148)</f>
        <v/>
      </c>
      <c r="O148" s="21">
        <f>MAX(O147,N148)</f>
        <v/>
      </c>
      <c r="P148" s="20">
        <f>N148/O148-1</f>
        <v/>
      </c>
    </row>
    <row r="149">
      <c r="A149" s="18" t="inlineStr">
        <is>
          <t>2024-07-24</t>
        </is>
      </c>
      <c r="B149" s="19" t="n">
        <v>-0.02875433481789402</v>
      </c>
      <c r="C149" s="19" t="n">
        <v>-0.03585464624677881</v>
      </c>
      <c r="D149" s="19" t="n">
        <v>-0.008272667683218327</v>
      </c>
      <c r="E149" s="19" t="n">
        <v>0.02579554607329837</v>
      </c>
      <c r="F149" s="19" t="n">
        <v>0.01410807570474759</v>
      </c>
      <c r="G149" s="19" t="n">
        <v>0.008282567665568008</v>
      </c>
      <c r="H149" s="19" t="n">
        <v>-0.0299340256500884</v>
      </c>
      <c r="I149" s="19" t="n">
        <v>0.04576344206509075</v>
      </c>
      <c r="J149" s="19" t="n">
        <v>-0.02362196852524834</v>
      </c>
      <c r="K149" s="19" t="n">
        <v>0.02005670706286322</v>
      </c>
      <c r="L149" s="19" t="n">
        <v>-0.02266248163601203</v>
      </c>
      <c r="M149" s="20">
        <f>SUMPRODUCT($B$3:$K$3,B149:K149)</f>
        <v/>
      </c>
      <c r="N149" s="21">
        <f>N148*(1+M149)</f>
        <v/>
      </c>
      <c r="O149" s="21">
        <f>MAX(O148,N149)</f>
        <v/>
      </c>
      <c r="P149" s="20">
        <f>N149/O149-1</f>
        <v/>
      </c>
    </row>
    <row r="150">
      <c r="A150" s="18" t="inlineStr">
        <is>
          <t>2024-07-25</t>
        </is>
      </c>
      <c r="B150" s="19" t="n">
        <v>-0.004804539367026295</v>
      </c>
      <c r="C150" s="19" t="n">
        <v>-0.02448123352097964</v>
      </c>
      <c r="D150" s="19" t="n">
        <v>0.0003834911445257383</v>
      </c>
      <c r="E150" s="19" t="n">
        <v>0.02149995394365378</v>
      </c>
      <c r="F150" s="19" t="n">
        <v>0.02104178169232584</v>
      </c>
      <c r="G150" s="19" t="n">
        <v>-0.00654788899935288</v>
      </c>
      <c r="H150" s="19" t="n">
        <v>-0.005419431054668911</v>
      </c>
      <c r="I150" s="19" t="n">
        <v>-0.02612405323016986</v>
      </c>
      <c r="J150" s="19" t="n">
        <v>0.02458031999431065</v>
      </c>
      <c r="K150" s="19" t="n">
        <v>0.007058311484638757</v>
      </c>
      <c r="L150" s="19" t="n">
        <v>-0.005210400757506117</v>
      </c>
      <c r="M150" s="20">
        <f>SUMPRODUCT($B$3:$K$3,B150:K150)</f>
        <v/>
      </c>
      <c r="N150" s="21">
        <f>N149*(1+M150)</f>
        <v/>
      </c>
      <c r="O150" s="21">
        <f>MAX(O149,N150)</f>
        <v/>
      </c>
      <c r="P150" s="20">
        <f>N150/O150-1</f>
        <v/>
      </c>
    </row>
    <row r="151">
      <c r="A151" s="18" t="inlineStr">
        <is>
          <t>2024-07-26</t>
        </is>
      </c>
      <c r="B151" s="19" t="n">
        <v>0.002161013533833467</v>
      </c>
      <c r="C151" s="19" t="n">
        <v>0.01641957573565023</v>
      </c>
      <c r="D151" s="19" t="n">
        <v>0.01710845598796329</v>
      </c>
      <c r="E151" s="19" t="n">
        <v>0.006264192613197439</v>
      </c>
      <c r="F151" s="19" t="n">
        <v>-0.0008516173992222376</v>
      </c>
      <c r="G151" s="19" t="n">
        <v>0.01324172551368741</v>
      </c>
      <c r="H151" s="19" t="n">
        <v>0.01473446653629318</v>
      </c>
      <c r="I151" s="19" t="n">
        <v>0.01116556864310914</v>
      </c>
      <c r="J151" s="19" t="n">
        <v>0.01794935902479255</v>
      </c>
      <c r="K151" s="19" t="n">
        <v>0.003504529314562577</v>
      </c>
      <c r="L151" s="19" t="n">
        <v>0.01119967594090387</v>
      </c>
      <c r="M151" s="20">
        <f>SUMPRODUCT($B$3:$K$3,B151:K151)</f>
        <v/>
      </c>
      <c r="N151" s="21">
        <f>N150*(1+M151)</f>
        <v/>
      </c>
      <c r="O151" s="21">
        <f>MAX(O150,N151)</f>
        <v/>
      </c>
      <c r="P151" s="20">
        <f>N151/O151-1</f>
        <v/>
      </c>
    </row>
    <row r="152">
      <c r="A152" s="18" t="inlineStr">
        <is>
          <t>2024-07-29</t>
        </is>
      </c>
      <c r="B152" s="19" t="n">
        <v>0.001284723417310563</v>
      </c>
      <c r="C152" s="19" t="n">
        <v>0.003433219269989296</v>
      </c>
      <c r="D152" s="19" t="n">
        <v>-0.006549345698459663</v>
      </c>
      <c r="E152" s="19" t="n">
        <v>-0.01294816279508892</v>
      </c>
      <c r="F152" s="19" t="n">
        <v>-0.01048327709633567</v>
      </c>
      <c r="G152" s="19" t="n">
        <v>0.004848732220561258</v>
      </c>
      <c r="H152" s="19" t="n">
        <v>0.003835599716395466</v>
      </c>
      <c r="I152" s="19" t="n">
        <v>0.001077343312195556</v>
      </c>
      <c r="J152" s="19" t="n">
        <v>-0.01697661830454256</v>
      </c>
      <c r="K152" s="19" t="n">
        <v>-0.00149685089605478</v>
      </c>
      <c r="L152" s="19" t="n">
        <v>0.0005876509321249834</v>
      </c>
      <c r="M152" s="20">
        <f>SUMPRODUCT($B$3:$K$3,B152:K152)</f>
        <v/>
      </c>
      <c r="N152" s="21">
        <f>N151*(1+M152)</f>
        <v/>
      </c>
      <c r="O152" s="21">
        <f>MAX(O151,N152)</f>
        <v/>
      </c>
      <c r="P152" s="20">
        <f>N152/O152-1</f>
        <v/>
      </c>
    </row>
    <row r="153">
      <c r="A153" s="18" t="inlineStr">
        <is>
          <t>2024-07-30</t>
        </is>
      </c>
      <c r="B153" s="19" t="n">
        <v>0.002565938289724068</v>
      </c>
      <c r="C153" s="19" t="n">
        <v>-0.008928403134969565</v>
      </c>
      <c r="D153" s="19" t="n">
        <v>0.02058345904577186</v>
      </c>
      <c r="E153" s="19" t="n">
        <v>0.01746939968667349</v>
      </c>
      <c r="F153" s="19" t="n">
        <v>0.01782935344880565</v>
      </c>
      <c r="G153" s="19" t="n">
        <v>-0.04843162144729163</v>
      </c>
      <c r="H153" s="19" t="n">
        <v>-0.008133134602594794</v>
      </c>
      <c r="I153" s="19" t="n">
        <v>-0.0008070831351508767</v>
      </c>
      <c r="J153" s="19" t="n">
        <v>-0.008156167418419069</v>
      </c>
      <c r="K153" s="19" t="n">
        <v>0.0002499939973192866</v>
      </c>
      <c r="L153" s="19" t="n">
        <v>-0.005066604824024989</v>
      </c>
      <c r="M153" s="20">
        <f>SUMPRODUCT($B$3:$K$3,B153:K153)</f>
        <v/>
      </c>
      <c r="N153" s="21">
        <f>N152*(1+M153)</f>
        <v/>
      </c>
      <c r="O153" s="21">
        <f>MAX(O152,N153)</f>
        <v/>
      </c>
      <c r="P153" s="20">
        <f>N153/O153-1</f>
        <v/>
      </c>
    </row>
    <row r="154">
      <c r="A154" s="18" t="inlineStr">
        <is>
          <t>2024-07-31</t>
        </is>
      </c>
      <c r="B154" s="19" t="n">
        <v>0.01499090389386581</v>
      </c>
      <c r="C154" s="19" t="n">
        <v>-0.01080584685930563</v>
      </c>
      <c r="D154" s="19" t="n">
        <v>-0.01110636259199382</v>
      </c>
      <c r="E154" s="19" t="n">
        <v>-0.02157056956097747</v>
      </c>
      <c r="F154" s="19" t="n">
        <v>0.003554311957315592</v>
      </c>
      <c r="G154" s="19" t="n">
        <v>-0.005813217520484693</v>
      </c>
      <c r="H154" s="19" t="n">
        <v>0.02900219481016442</v>
      </c>
      <c r="I154" s="19" t="n">
        <v>0.0284061532172275</v>
      </c>
      <c r="J154" s="19" t="n">
        <v>0.01311025862519544</v>
      </c>
      <c r="K154" s="19" t="n">
        <v>0.01198791465441573</v>
      </c>
      <c r="L154" s="19" t="n">
        <v>0.01625488239888773</v>
      </c>
      <c r="M154" s="20">
        <f>SUMPRODUCT($B$3:$K$3,B154:K154)</f>
        <v/>
      </c>
      <c r="N154" s="21">
        <f>N153*(1+M154)</f>
        <v/>
      </c>
      <c r="O154" s="21">
        <f>MAX(O153,N154)</f>
        <v/>
      </c>
      <c r="P154" s="20">
        <f>N154/O154-1</f>
        <v/>
      </c>
    </row>
    <row r="155">
      <c r="A155" s="18" t="inlineStr">
        <is>
          <t>2024-08-01</t>
        </is>
      </c>
      <c r="B155" s="19" t="n">
        <v>-0.0167506554328356</v>
      </c>
      <c r="C155" s="19" t="n">
        <v>-0.002963990792981153</v>
      </c>
      <c r="D155" s="19" t="n">
        <v>-0.02274440682829082</v>
      </c>
      <c r="E155" s="19" t="n">
        <v>0.01843526918088045</v>
      </c>
      <c r="F155" s="19" t="n">
        <v>-0.01382933043848034</v>
      </c>
      <c r="G155" s="19" t="n">
        <v>0.03066689013112245</v>
      </c>
      <c r="H155" s="19" t="n">
        <v>-0.01556310017014129</v>
      </c>
      <c r="I155" s="19" t="n">
        <v>0.02618140973721239</v>
      </c>
      <c r="J155" s="19" t="n">
        <v>-0.0424033482124303</v>
      </c>
      <c r="K155" s="19" t="n">
        <v>0.008144134807230197</v>
      </c>
      <c r="L155" s="19" t="n">
        <v>-0.0141610098323447</v>
      </c>
      <c r="M155" s="20">
        <f>SUMPRODUCT($B$3:$K$3,B155:K155)</f>
        <v/>
      </c>
      <c r="N155" s="21">
        <f>N154*(1+M155)</f>
        <v/>
      </c>
      <c r="O155" s="21">
        <f>MAX(O154,N155)</f>
        <v/>
      </c>
      <c r="P155" s="20">
        <f>N155/O155-1</f>
        <v/>
      </c>
    </row>
    <row r="156">
      <c r="A156" s="18" t="inlineStr">
        <is>
          <t>2024-08-02</t>
        </is>
      </c>
      <c r="B156" s="19" t="n">
        <v>0.006869404975606175</v>
      </c>
      <c r="C156" s="19" t="n">
        <v>-0.02066599315513939</v>
      </c>
      <c r="D156" s="19" t="n">
        <v>-0.04241212753716261</v>
      </c>
      <c r="E156" s="19" t="n">
        <v>0.02102507340831217</v>
      </c>
      <c r="F156" s="19" t="n">
        <v>-0.0005983546718922872</v>
      </c>
      <c r="G156" s="19" t="n">
        <v>0.02649528270985302</v>
      </c>
      <c r="H156" s="19" t="n">
        <v>-0.0878470841762542</v>
      </c>
      <c r="I156" s="19" t="n">
        <v>0.01033290935462716</v>
      </c>
      <c r="J156" s="19" t="n">
        <v>-0.0321246440908346</v>
      </c>
      <c r="K156" s="19" t="n">
        <v>0.002937473057726292</v>
      </c>
      <c r="L156" s="19" t="n">
        <v>-0.01861846558310121</v>
      </c>
      <c r="M156" s="20">
        <f>SUMPRODUCT($B$3:$K$3,B156:K156)</f>
        <v/>
      </c>
      <c r="N156" s="21">
        <f>N155*(1+M156)</f>
        <v/>
      </c>
      <c r="O156" s="21">
        <f>MAX(O155,N156)</f>
        <v/>
      </c>
      <c r="P156" s="20">
        <f>N156/O156-1</f>
        <v/>
      </c>
    </row>
    <row r="157">
      <c r="A157" s="18" t="inlineStr">
        <is>
          <t>2024-08-05</t>
        </is>
      </c>
      <c r="B157" s="19" t="n">
        <v>-0.04816715050431253</v>
      </c>
      <c r="C157" s="19" t="n">
        <v>-0.03265685596841972</v>
      </c>
      <c r="D157" s="19" t="n">
        <v>-0.02129161299563742</v>
      </c>
      <c r="E157" s="19" t="n">
        <v>-0.01760680114999091</v>
      </c>
      <c r="F157" s="19" t="n">
        <v>-0.01805280095075656</v>
      </c>
      <c r="G157" s="19" t="n">
        <v>-0.01187671824616698</v>
      </c>
      <c r="H157" s="19" t="n">
        <v>-0.04097671157906757</v>
      </c>
      <c r="I157" s="19" t="n">
        <v>-0.03181803316016263</v>
      </c>
      <c r="J157" s="19" t="n">
        <v>-0.01268433506991462</v>
      </c>
      <c r="K157" s="19" t="n">
        <v>-0.02855751341934143</v>
      </c>
      <c r="L157" s="19" t="n">
        <v>-0.02912355475609818</v>
      </c>
      <c r="M157" s="20">
        <f>SUMPRODUCT($B$3:$K$3,B157:K157)</f>
        <v/>
      </c>
      <c r="N157" s="21">
        <f>N156*(1+M157)</f>
        <v/>
      </c>
      <c r="O157" s="21">
        <f>MAX(O156,N157)</f>
        <v/>
      </c>
      <c r="P157" s="20">
        <f>N157/O157-1</f>
        <v/>
      </c>
    </row>
    <row r="158">
      <c r="A158" s="18" t="inlineStr">
        <is>
          <t>2024-08-06</t>
        </is>
      </c>
      <c r="B158" s="19" t="n">
        <v>-0.009748168211347941</v>
      </c>
      <c r="C158" s="19" t="n">
        <v>0.01128679951452294</v>
      </c>
      <c r="D158" s="19" t="n">
        <v>0.0279119629784268</v>
      </c>
      <c r="E158" s="19" t="n">
        <v>-0.01413955085611585</v>
      </c>
      <c r="F158" s="19" t="n">
        <v>-0.005314867117247934</v>
      </c>
      <c r="G158" s="19" t="n">
        <v>0.000178333829237376</v>
      </c>
      <c r="H158" s="19" t="n">
        <v>0.005651399696776416</v>
      </c>
      <c r="I158" s="19" t="n">
        <v>0.003781717735418022</v>
      </c>
      <c r="J158" s="19" t="n">
        <v>0.03042939803626976</v>
      </c>
      <c r="K158" s="19" t="n">
        <v>0.01155776599176361</v>
      </c>
      <c r="L158" s="19" t="n">
        <v>0.009219378199827766</v>
      </c>
      <c r="M158" s="20">
        <f>SUMPRODUCT($B$3:$K$3,B158:K158)</f>
        <v/>
      </c>
      <c r="N158" s="21">
        <f>N157*(1+M158)</f>
        <v/>
      </c>
      <c r="O158" s="21">
        <f>MAX(O157,N158)</f>
        <v/>
      </c>
      <c r="P158" s="20">
        <f>N158/O158-1</f>
        <v/>
      </c>
    </row>
    <row r="159">
      <c r="A159" s="18" t="inlineStr">
        <is>
          <t>2024-08-07</t>
        </is>
      </c>
      <c r="B159" s="19" t="n">
        <v>0.01249837580135815</v>
      </c>
      <c r="C159" s="19" t="n">
        <v>-0.002952766920182093</v>
      </c>
      <c r="D159" s="19" t="n">
        <v>0.0002992838853286273</v>
      </c>
      <c r="E159" s="19" t="n">
        <v>-0.0004404170996992196</v>
      </c>
      <c r="F159" s="19" t="n">
        <v>0.01331442156722829</v>
      </c>
      <c r="G159" s="19" t="n">
        <v>0.01148194186529805</v>
      </c>
      <c r="H159" s="19" t="n">
        <v>0.005187498515865308</v>
      </c>
      <c r="I159" s="19" t="n">
        <v>0.00766552830883338</v>
      </c>
      <c r="J159" s="19" t="n">
        <v>-0.001960587599439179</v>
      </c>
      <c r="K159" s="19" t="n">
        <v>0.000496807587253123</v>
      </c>
      <c r="L159" s="19" t="n">
        <v>-0.006683849217716364</v>
      </c>
      <c r="M159" s="20">
        <f>SUMPRODUCT($B$3:$K$3,B159:K159)</f>
        <v/>
      </c>
      <c r="N159" s="21">
        <f>N158*(1+M159)</f>
        <v/>
      </c>
      <c r="O159" s="21">
        <f>MAX(O158,N159)</f>
        <v/>
      </c>
      <c r="P159" s="20">
        <f>N159/O159-1</f>
        <v/>
      </c>
    </row>
    <row r="160">
      <c r="A160" s="18" t="inlineStr">
        <is>
          <t>2024-08-08</t>
        </is>
      </c>
      <c r="B160" s="19" t="n">
        <v>0.01663308353631754</v>
      </c>
      <c r="C160" s="19" t="n">
        <v>0.01069191807038061</v>
      </c>
      <c r="D160" s="19" t="n">
        <v>0.01826347001328466</v>
      </c>
      <c r="E160" s="19" t="n">
        <v>0.008307164598803762</v>
      </c>
      <c r="F160" s="19" t="n">
        <v>0.01910450444204992</v>
      </c>
      <c r="G160" s="19" t="n">
        <v>0.004999343101528941</v>
      </c>
      <c r="H160" s="19" t="n">
        <v>0.01861521594743554</v>
      </c>
      <c r="I160" s="19" t="n">
        <v>-0.0002580336741820899</v>
      </c>
      <c r="J160" s="19" t="n">
        <v>0.03179873913370734</v>
      </c>
      <c r="K160" s="19" t="n">
        <v>0.005958406789938531</v>
      </c>
      <c r="L160" s="19" t="n">
        <v>0.02311728132289192</v>
      </c>
      <c r="M160" s="20">
        <f>SUMPRODUCT($B$3:$K$3,B160:K160)</f>
        <v/>
      </c>
      <c r="N160" s="21">
        <f>N159*(1+M160)</f>
        <v/>
      </c>
      <c r="O160" s="21">
        <f>MAX(O159,N160)</f>
        <v/>
      </c>
      <c r="P160" s="20">
        <f>N160/O160-1</f>
        <v/>
      </c>
    </row>
    <row r="161">
      <c r="A161" s="18" t="inlineStr">
        <is>
          <t>2024-08-09</t>
        </is>
      </c>
      <c r="B161" s="19" t="n">
        <v>0.01373592487992759</v>
      </c>
      <c r="C161" s="19" t="n">
        <v>0.008269291427240422</v>
      </c>
      <c r="D161" s="19" t="n">
        <v>0.00852701230898667</v>
      </c>
      <c r="E161" s="19" t="n">
        <v>0.00249648485491849</v>
      </c>
      <c r="F161" s="19" t="n">
        <v>0.008143168978459459</v>
      </c>
      <c r="G161" s="19" t="n">
        <v>-0.001931297423573231</v>
      </c>
      <c r="H161" s="19" t="n">
        <v>0.00687575011257735</v>
      </c>
      <c r="I161" s="19" t="n">
        <v>-0.001031770809478916</v>
      </c>
      <c r="J161" s="19" t="n">
        <v>0.006246916553254156</v>
      </c>
      <c r="K161" s="19" t="n">
        <v>0.005676250945997108</v>
      </c>
      <c r="L161" s="19" t="n">
        <v>0.004409783629055974</v>
      </c>
      <c r="M161" s="20">
        <f>SUMPRODUCT($B$3:$K$3,B161:K161)</f>
        <v/>
      </c>
      <c r="N161" s="21">
        <f>N160*(1+M161)</f>
        <v/>
      </c>
      <c r="O161" s="21">
        <f>MAX(O160,N161)</f>
        <v/>
      </c>
      <c r="P161" s="20">
        <f>N161/O161-1</f>
        <v/>
      </c>
    </row>
    <row r="162">
      <c r="A162" s="18" t="inlineStr">
        <is>
          <t>2024-08-12</t>
        </is>
      </c>
      <c r="B162" s="19" t="n">
        <v>0.007130018239465796</v>
      </c>
      <c r="C162" s="19" t="n">
        <v>0.00194569433859404</v>
      </c>
      <c r="D162" s="19" t="n">
        <v>0.001895009021534388</v>
      </c>
      <c r="E162" s="19" t="n">
        <v>-0.004607086623959145</v>
      </c>
      <c r="F162" s="19" t="n">
        <v>0.00126223286129945</v>
      </c>
      <c r="G162" s="19" t="n">
        <v>-0.02187162253086206</v>
      </c>
      <c r="H162" s="19" t="n">
        <v>-0.000838620987187122</v>
      </c>
      <c r="I162" s="19" t="n">
        <v>0.001549254689984014</v>
      </c>
      <c r="J162" s="19" t="n">
        <v>-0.006592542636944976</v>
      </c>
      <c r="K162" s="19" t="n">
        <v>-0.005398742808524482</v>
      </c>
      <c r="L162" s="19" t="n">
        <v>0.0005251820010057084</v>
      </c>
      <c r="M162" s="20">
        <f>SUMPRODUCT($B$3:$K$3,B162:K162)</f>
        <v/>
      </c>
      <c r="N162" s="21">
        <f>N161*(1+M162)</f>
        <v/>
      </c>
      <c r="O162" s="21">
        <f>MAX(O161,N162)</f>
        <v/>
      </c>
      <c r="P162" s="20">
        <f>N162/O162-1</f>
        <v/>
      </c>
    </row>
    <row r="163">
      <c r="A163" s="18" t="inlineStr">
        <is>
          <t>2024-08-13</t>
        </is>
      </c>
      <c r="B163" s="19" t="n">
        <v>0.01719308001729547</v>
      </c>
      <c r="C163" s="19" t="n">
        <v>0.01769877996255387</v>
      </c>
      <c r="D163" s="19" t="n">
        <v>0.008487352176534513</v>
      </c>
      <c r="E163" s="19" t="n">
        <v>-0.009319654369546626</v>
      </c>
      <c r="F163" s="19" t="n">
        <v>-0.00957991175990891</v>
      </c>
      <c r="G163" s="19" t="n">
        <v>0.0028776197722582</v>
      </c>
      <c r="H163" s="19" t="n">
        <v>0.02056350487425918</v>
      </c>
      <c r="I163" s="19" t="n">
        <v>0.006960599475015261</v>
      </c>
      <c r="J163" s="19" t="n">
        <v>0.008243144559421323</v>
      </c>
      <c r="K163" s="19" t="n">
        <v>0.006168133300011425</v>
      </c>
      <c r="L163" s="19" t="n">
        <v>0.01644569468751111</v>
      </c>
      <c r="M163" s="20">
        <f>SUMPRODUCT($B$3:$K$3,B163:K163)</f>
        <v/>
      </c>
      <c r="N163" s="21">
        <f>N162*(1+M163)</f>
        <v/>
      </c>
      <c r="O163" s="21">
        <f>MAX(O162,N163)</f>
        <v/>
      </c>
      <c r="P163" s="20">
        <f>N163/O163-1</f>
        <v/>
      </c>
    </row>
    <row r="164">
      <c r="A164" s="18" t="inlineStr">
        <is>
          <t>2024-08-14</t>
        </is>
      </c>
      <c r="B164" s="19" t="n">
        <v>0.002033606768666596</v>
      </c>
      <c r="C164" s="19" t="n">
        <v>0.006883886151050289</v>
      </c>
      <c r="D164" s="19" t="n">
        <v>0.01106088621972079</v>
      </c>
      <c r="E164" s="19" t="n">
        <v>0.0005684705805204526</v>
      </c>
      <c r="F164" s="19" t="n">
        <v>0.009248179782922916</v>
      </c>
      <c r="G164" s="19" t="n">
        <v>0.009026180264452011</v>
      </c>
      <c r="H164" s="19" t="n">
        <v>-0.0007636117446156998</v>
      </c>
      <c r="I164" s="19" t="n">
        <v>-0.001408125714294051</v>
      </c>
      <c r="J164" s="19" t="n">
        <v>-0.003571316792196355</v>
      </c>
      <c r="K164" s="19" t="n">
        <v>0.002942728821348162</v>
      </c>
      <c r="L164" s="19" t="n">
        <v>0.003154871949892835</v>
      </c>
      <c r="M164" s="20">
        <f>SUMPRODUCT($B$3:$K$3,B164:K164)</f>
        <v/>
      </c>
      <c r="N164" s="21">
        <f>N163*(1+M164)</f>
        <v/>
      </c>
      <c r="O164" s="21">
        <f>MAX(O163,N164)</f>
        <v/>
      </c>
      <c r="P164" s="20">
        <f>N164/O164-1</f>
        <v/>
      </c>
    </row>
    <row r="165">
      <c r="A165" s="18" t="inlineStr">
        <is>
          <t>2024-08-15</t>
        </is>
      </c>
      <c r="B165" s="19" t="n">
        <v>0.0135307199159922</v>
      </c>
      <c r="C165" s="19" t="n">
        <v>0.01182376671648888</v>
      </c>
      <c r="D165" s="19" t="n">
        <v>0.006231017050121634</v>
      </c>
      <c r="E165" s="19" t="n">
        <v>0.003849128341963493</v>
      </c>
      <c r="F165" s="19" t="n">
        <v>0.006186600613758975</v>
      </c>
      <c r="G165" s="19" t="n">
        <v>-0.005213218459727775</v>
      </c>
      <c r="H165" s="19" t="n">
        <v>0.04403286281963403</v>
      </c>
      <c r="I165" s="19" t="n">
        <v>-0.007691241062943055</v>
      </c>
      <c r="J165" s="19" t="n">
        <v>0.02384556034926466</v>
      </c>
      <c r="K165" s="19" t="n">
        <v>-0.02102684484399842</v>
      </c>
      <c r="L165" s="19" t="n">
        <v>0.01713998921119253</v>
      </c>
      <c r="M165" s="20">
        <f>SUMPRODUCT($B$3:$K$3,B165:K165)</f>
        <v/>
      </c>
      <c r="N165" s="21">
        <f>N164*(1+M165)</f>
        <v/>
      </c>
      <c r="O165" s="21">
        <f>MAX(O164,N165)</f>
        <v/>
      </c>
      <c r="P165" s="20">
        <f>N165/O165-1</f>
        <v/>
      </c>
    </row>
    <row r="166">
      <c r="A166" s="18" t="inlineStr">
        <is>
          <t>2024-08-16</t>
        </is>
      </c>
      <c r="B166" s="19" t="n">
        <v>0.005918421381824857</v>
      </c>
      <c r="C166" s="19" t="n">
        <v>-0.006080287090921899</v>
      </c>
      <c r="D166" s="19" t="n">
        <v>0.01143936255478328</v>
      </c>
      <c r="E166" s="19" t="n">
        <v>0.001885713615342066</v>
      </c>
      <c r="F166" s="19" t="n">
        <v>-0.004716672184123749</v>
      </c>
      <c r="G166" s="19" t="n">
        <v>-0.0001785784331919116</v>
      </c>
      <c r="H166" s="19" t="n">
        <v>-0.002984395462729106</v>
      </c>
      <c r="I166" s="19" t="n">
        <v>0.01498516824734897</v>
      </c>
      <c r="J166" s="19" t="n">
        <v>-0.006249246038881773</v>
      </c>
      <c r="K166" s="19" t="n">
        <v>0.01423556039946461</v>
      </c>
      <c r="L166" s="19" t="n">
        <v>0.002242012046412167</v>
      </c>
      <c r="M166" s="20">
        <f>SUMPRODUCT($B$3:$K$3,B166:K166)</f>
        <v/>
      </c>
      <c r="N166" s="21">
        <f>N165*(1+M166)</f>
        <v/>
      </c>
      <c r="O166" s="21">
        <f>MAX(O165,N166)</f>
        <v/>
      </c>
      <c r="P166" s="20">
        <f>N166/O166-1</f>
        <v/>
      </c>
    </row>
    <row r="167">
      <c r="A167" s="18" t="inlineStr">
        <is>
          <t>2024-08-19</t>
        </is>
      </c>
      <c r="B167" s="19" t="n">
        <v>-0.0007078915477476411</v>
      </c>
      <c r="C167" s="19" t="n">
        <v>0.007312296547812291</v>
      </c>
      <c r="D167" s="19" t="n">
        <v>0.006916833478062712</v>
      </c>
      <c r="E167" s="19" t="n">
        <v>0.001505629692683419</v>
      </c>
      <c r="F167" s="19" t="n">
        <v>0.003046481402434686</v>
      </c>
      <c r="G167" s="19" t="n">
        <v>0.003156664184475577</v>
      </c>
      <c r="H167" s="19" t="n">
        <v>0.006551472258579993</v>
      </c>
      <c r="I167" s="19" t="n">
        <v>0.009927317097950361</v>
      </c>
      <c r="J167" s="19" t="n">
        <v>0.00340636334718436</v>
      </c>
      <c r="K167" s="19" t="n">
        <v>0.003201364121889316</v>
      </c>
      <c r="L167" s="19" t="n">
        <v>0.009561559047807977</v>
      </c>
      <c r="M167" s="20">
        <f>SUMPRODUCT($B$3:$K$3,B167:K167)</f>
        <v/>
      </c>
      <c r="N167" s="21">
        <f>N166*(1+M167)</f>
        <v/>
      </c>
      <c r="O167" s="21">
        <f>MAX(O166,N167)</f>
        <v/>
      </c>
      <c r="P167" s="20">
        <f>N167/O167-1</f>
        <v/>
      </c>
    </row>
    <row r="168">
      <c r="A168" s="18" t="inlineStr">
        <is>
          <t>2024-08-20</t>
        </is>
      </c>
      <c r="B168" s="19" t="n">
        <v>0.002744818581911668</v>
      </c>
      <c r="C168" s="19" t="n">
        <v>0.007757527657417995</v>
      </c>
      <c r="D168" s="19" t="n">
        <v>-0.004316479016554298</v>
      </c>
      <c r="E168" s="19" t="n">
        <v>0.003320175109067014</v>
      </c>
      <c r="F168" s="19" t="n">
        <v>-0.03332489677801376</v>
      </c>
      <c r="G168" s="19" t="n">
        <v>0.01181573206773057</v>
      </c>
      <c r="H168" s="19" t="n">
        <v>0.003703308593809629</v>
      </c>
      <c r="I168" s="19" t="n">
        <v>-0.004662602859911824</v>
      </c>
      <c r="J168" s="19" t="n">
        <v>-0.003917201926536218</v>
      </c>
      <c r="K168" s="19" t="n">
        <v>0.002699980517695488</v>
      </c>
      <c r="L168" s="19" t="n">
        <v>-0.001626069038539679</v>
      </c>
      <c r="M168" s="20">
        <f>SUMPRODUCT($B$3:$K$3,B168:K168)</f>
        <v/>
      </c>
      <c r="N168" s="21">
        <f>N167*(1+M168)</f>
        <v/>
      </c>
      <c r="O168" s="21">
        <f>MAX(O167,N168)</f>
        <v/>
      </c>
      <c r="P168" s="20">
        <f>N168/O168-1</f>
        <v/>
      </c>
    </row>
    <row r="169">
      <c r="A169" s="18" t="inlineStr">
        <is>
          <t>2024-08-21</t>
        </is>
      </c>
      <c r="B169" s="19" t="n">
        <v>-0.0004856870736524854</v>
      </c>
      <c r="C169" s="19" t="n">
        <v>-0.001553704835487557</v>
      </c>
      <c r="D169" s="19" t="n">
        <v>0.0003728902350790264</v>
      </c>
      <c r="E169" s="19" t="n">
        <v>0.007929405069663442</v>
      </c>
      <c r="F169" s="19" t="n">
        <v>-0.006371116563681833</v>
      </c>
      <c r="G169" s="19" t="n">
        <v>-0.001467102097226447</v>
      </c>
      <c r="H169" s="19" t="n">
        <v>0.006876093995775934</v>
      </c>
      <c r="I169" s="19" t="n">
        <v>0.008356239726156733</v>
      </c>
      <c r="J169" s="19" t="n">
        <v>-0.0009611702350115214</v>
      </c>
      <c r="K169" s="19" t="n">
        <v>0.004895894894443753</v>
      </c>
      <c r="L169" s="19" t="n">
        <v>0.003436696950257945</v>
      </c>
      <c r="M169" s="20">
        <f>SUMPRODUCT($B$3:$K$3,B169:K169)</f>
        <v/>
      </c>
      <c r="N169" s="21">
        <f>N168*(1+M169)</f>
        <v/>
      </c>
      <c r="O169" s="21">
        <f>MAX(O168,N169)</f>
        <v/>
      </c>
      <c r="P169" s="20">
        <f>N169/O169-1</f>
        <v/>
      </c>
    </row>
    <row r="170">
      <c r="A170" s="18" t="inlineStr">
        <is>
          <t>2024-08-22</t>
        </is>
      </c>
      <c r="B170" s="19" t="n">
        <v>-0.008259672944543661</v>
      </c>
      <c r="C170" s="19" t="n">
        <v>-0.02025276266393339</v>
      </c>
      <c r="D170" s="19" t="n">
        <v>0.009459405493260853</v>
      </c>
      <c r="E170" s="19" t="n">
        <v>0.005699299757229381</v>
      </c>
      <c r="F170" s="19" t="n">
        <v>0.007729542601329964</v>
      </c>
      <c r="G170" s="19" t="n">
        <v>-5.867944742887765e-05</v>
      </c>
      <c r="H170" s="19" t="n">
        <v>-0.02209758322165212</v>
      </c>
      <c r="I170" s="19" t="n">
        <v>-0.009040568365405344</v>
      </c>
      <c r="J170" s="19" t="n">
        <v>-0.001778630784448954</v>
      </c>
      <c r="K170" s="19" t="n">
        <v>-0.004384901268207786</v>
      </c>
      <c r="L170" s="19" t="n">
        <v>-0.007848673551824725</v>
      </c>
      <c r="M170" s="20">
        <f>SUMPRODUCT($B$3:$K$3,B170:K170)</f>
        <v/>
      </c>
      <c r="N170" s="21">
        <f>N169*(1+M170)</f>
        <v/>
      </c>
      <c r="O170" s="21">
        <f>MAX(O169,N170)</f>
        <v/>
      </c>
      <c r="P170" s="20">
        <f>N170/O170-1</f>
        <v/>
      </c>
    </row>
    <row r="171">
      <c r="A171" s="18" t="inlineStr">
        <is>
          <t>2024-08-23</t>
        </is>
      </c>
      <c r="B171" s="19" t="n">
        <v>0.01028813803697304</v>
      </c>
      <c r="C171" s="19" t="n">
        <v>0.002983890170999093</v>
      </c>
      <c r="D171" s="19" t="n">
        <v>0.007755231158910414</v>
      </c>
      <c r="E171" s="19" t="n">
        <v>0.01096393411683039</v>
      </c>
      <c r="F171" s="19" t="n">
        <v>0.013858627353041</v>
      </c>
      <c r="G171" s="19" t="n">
        <v>-0.00575953644302174</v>
      </c>
      <c r="H171" s="19" t="n">
        <v>0.005166572293719973</v>
      </c>
      <c r="I171" s="19" t="n">
        <v>0.009376529766448982</v>
      </c>
      <c r="J171" s="19" t="n">
        <v>0.01767163278000261</v>
      </c>
      <c r="K171" s="19" t="n">
        <v>0.008319140525030244</v>
      </c>
      <c r="L171" s="19" t="n">
        <v>0.01062542094546948</v>
      </c>
      <c r="M171" s="20">
        <f>SUMPRODUCT($B$3:$K$3,B171:K171)</f>
        <v/>
      </c>
      <c r="N171" s="21">
        <f>N170*(1+M171)</f>
        <v/>
      </c>
      <c r="O171" s="21">
        <f>MAX(O170,N171)</f>
        <v/>
      </c>
      <c r="P171" s="20">
        <f>N171/O171-1</f>
        <v/>
      </c>
    </row>
    <row r="172">
      <c r="A172" s="18" t="inlineStr">
        <is>
          <t>2024-08-26</t>
        </is>
      </c>
      <c r="B172" s="19" t="n">
        <v>0.001498895058353655</v>
      </c>
      <c r="C172" s="19" t="n">
        <v>-0.007917600193321217</v>
      </c>
      <c r="D172" s="19" t="n">
        <v>0.00393932472714309</v>
      </c>
      <c r="E172" s="19" t="n">
        <v>0.002924592443700247</v>
      </c>
      <c r="F172" s="19" t="n">
        <v>0.02140649023463359</v>
      </c>
      <c r="G172" s="19" t="n">
        <v>0.006975166332537031</v>
      </c>
      <c r="H172" s="19" t="n">
        <v>-0.00869856159361615</v>
      </c>
      <c r="I172" s="19" t="n">
        <v>0.01230226134856349</v>
      </c>
      <c r="J172" s="19" t="n">
        <v>0.007892782979441737</v>
      </c>
      <c r="K172" s="19" t="n">
        <v>0.006794439115520801</v>
      </c>
      <c r="L172" s="19" t="n">
        <v>-0.002384044684012654</v>
      </c>
      <c r="M172" s="20">
        <f>SUMPRODUCT($B$3:$K$3,B172:K172)</f>
        <v/>
      </c>
      <c r="N172" s="21">
        <f>N171*(1+M172)</f>
        <v/>
      </c>
      <c r="O172" s="21">
        <f>MAX(O171,N172)</f>
        <v/>
      </c>
      <c r="P172" s="20">
        <f>N172/O172-1</f>
        <v/>
      </c>
    </row>
    <row r="173">
      <c r="A173" s="18" t="inlineStr">
        <is>
          <t>2024-08-27</t>
        </is>
      </c>
      <c r="B173" s="19" t="n">
        <v>0.003741493880307756</v>
      </c>
      <c r="C173" s="19" t="n">
        <v>0.0008466449566297829</v>
      </c>
      <c r="D173" s="19" t="n">
        <v>0.004608266179931597</v>
      </c>
      <c r="E173" s="19" t="n">
        <v>-0.002570991131524925</v>
      </c>
      <c r="F173" s="19" t="n">
        <v>-0.009510999333078973</v>
      </c>
      <c r="G173" s="19" t="n">
        <v>-0.006457276686123725</v>
      </c>
      <c r="H173" s="19" t="n">
        <v>-0.01356128138354706</v>
      </c>
      <c r="I173" s="19" t="n">
        <v>-0.01277284709653659</v>
      </c>
      <c r="J173" s="19" t="n">
        <v>-0.0001137492869514034</v>
      </c>
      <c r="K173" s="19" t="n">
        <v>-0.0009640538016865152</v>
      </c>
      <c r="L173" s="19" t="n">
        <v>0.001373241591785312</v>
      </c>
      <c r="M173" s="20">
        <f>SUMPRODUCT($B$3:$K$3,B173:K173)</f>
        <v/>
      </c>
      <c r="N173" s="21">
        <f>N172*(1+M173)</f>
        <v/>
      </c>
      <c r="O173" s="21">
        <f>MAX(O172,N173)</f>
        <v/>
      </c>
      <c r="P173" s="20">
        <f>N173/O173-1</f>
        <v/>
      </c>
    </row>
    <row r="174">
      <c r="A174" s="18" t="inlineStr">
        <is>
          <t>2024-08-28</t>
        </is>
      </c>
      <c r="B174" s="19" t="n">
        <v>-0.006753484652468611</v>
      </c>
      <c r="C174" s="19" t="n">
        <v>-0.007829316701104094</v>
      </c>
      <c r="D174" s="19" t="n">
        <v>0.005041348561462211</v>
      </c>
      <c r="E174" s="19" t="n">
        <v>0.005952630421923955</v>
      </c>
      <c r="F174" s="19" t="n">
        <v>-0.009857251814369028</v>
      </c>
      <c r="G174" s="19" t="n">
        <v>-0.001122616604449234</v>
      </c>
      <c r="H174" s="19" t="n">
        <v>-0.01340106360249871</v>
      </c>
      <c r="I174" s="19" t="n">
        <v>-0.002512152780797527</v>
      </c>
      <c r="J174" s="19" t="n">
        <v>-0.008316312799622527</v>
      </c>
      <c r="K174" s="19" t="n">
        <v>0.0009649840982750568</v>
      </c>
      <c r="L174" s="19" t="n">
        <v>-0.00580521267877987</v>
      </c>
      <c r="M174" s="20">
        <f>SUMPRODUCT($B$3:$K$3,B174:K174)</f>
        <v/>
      </c>
      <c r="N174" s="21">
        <f>N173*(1+M174)</f>
        <v/>
      </c>
      <c r="O174" s="21">
        <f>MAX(O173,N174)</f>
        <v/>
      </c>
      <c r="P174" s="20">
        <f>N174/O174-1</f>
        <v/>
      </c>
    </row>
    <row r="175">
      <c r="A175" s="18" t="inlineStr">
        <is>
          <t>2024-08-29</t>
        </is>
      </c>
      <c r="B175" s="19" t="n">
        <v>0.01457013271569307</v>
      </c>
      <c r="C175" s="19" t="n">
        <v>0.006137420477476452</v>
      </c>
      <c r="D175" s="19" t="n">
        <v>0.004157585301128419</v>
      </c>
      <c r="E175" s="19" t="n">
        <v>0.00189114098806864</v>
      </c>
      <c r="F175" s="19" t="n">
        <v>0.01381725417083524</v>
      </c>
      <c r="G175" s="19" t="n">
        <v>0.005737513929403582</v>
      </c>
      <c r="H175" s="19" t="n">
        <v>0.007728290643119529</v>
      </c>
      <c r="I175" s="19" t="n">
        <v>0.007807563665128914</v>
      </c>
      <c r="J175" s="19" t="n">
        <v>0.009879431161944341</v>
      </c>
      <c r="K175" s="19" t="n">
        <v>-0.005784532455394786</v>
      </c>
      <c r="L175" s="19" t="n">
        <v>8.941477190371749e-05</v>
      </c>
      <c r="M175" s="20">
        <f>SUMPRODUCT($B$3:$K$3,B175:K175)</f>
        <v/>
      </c>
      <c r="N175" s="21">
        <f>N174*(1+M175)</f>
        <v/>
      </c>
      <c r="O175" s="21">
        <f>MAX(O174,N175)</f>
        <v/>
      </c>
      <c r="P175" s="20">
        <f>N175/O175-1</f>
        <v/>
      </c>
    </row>
    <row r="176">
      <c r="A176" s="18" t="inlineStr">
        <is>
          <t>2024-08-30</t>
        </is>
      </c>
      <c r="B176" s="19" t="n">
        <v>-0.003437992627449149</v>
      </c>
      <c r="C176" s="19" t="n">
        <v>0.009730841994459727</v>
      </c>
      <c r="D176" s="19" t="n">
        <v>0.01165549168054669</v>
      </c>
      <c r="E176" s="19" t="n">
        <v>0.009925196429130034</v>
      </c>
      <c r="F176" s="19" t="n">
        <v>-0.00160835039383822</v>
      </c>
      <c r="G176" s="19" t="n">
        <v>0.008880820715815307</v>
      </c>
      <c r="H176" s="19" t="n">
        <v>0.03706719186500496</v>
      </c>
      <c r="I176" s="19" t="n">
        <v>0.01251346911881046</v>
      </c>
      <c r="J176" s="19" t="n">
        <v>0.01268338826082083</v>
      </c>
      <c r="K176" s="19" t="n">
        <v>0.01284832267410607</v>
      </c>
      <c r="L176" s="19" t="n">
        <v>0.009546108600853476</v>
      </c>
      <c r="M176" s="20">
        <f>SUMPRODUCT($B$3:$K$3,B176:K176)</f>
        <v/>
      </c>
      <c r="N176" s="21">
        <f>N175*(1+M176)</f>
        <v/>
      </c>
      <c r="O176" s="21">
        <f>MAX(O175,N176)</f>
        <v/>
      </c>
      <c r="P176" s="20">
        <f>N176/O176-1</f>
        <v/>
      </c>
    </row>
    <row r="177">
      <c r="A177" s="18" t="inlineStr">
        <is>
          <t>2024-09-03</t>
        </is>
      </c>
      <c r="B177" s="19" t="n">
        <v>-0.02720516134858264</v>
      </c>
      <c r="C177" s="19" t="n">
        <v>-0.01845897174366606</v>
      </c>
      <c r="D177" s="19" t="n">
        <v>-0.02001775300687125</v>
      </c>
      <c r="E177" s="19" t="n">
        <v>0.007838117888353979</v>
      </c>
      <c r="F177" s="19" t="n">
        <v>-0.02094285830944198</v>
      </c>
      <c r="G177" s="19" t="n">
        <v>0.01737199304891202</v>
      </c>
      <c r="H177" s="19" t="n">
        <v>-0.01260504201680668</v>
      </c>
      <c r="I177" s="19" t="n">
        <v>-0.007204317644969205</v>
      </c>
      <c r="J177" s="19" t="n">
        <v>-0.0445380620367829</v>
      </c>
      <c r="K177" s="19" t="n">
        <v>0.02752523446633526</v>
      </c>
      <c r="L177" s="19" t="n">
        <v>-0.02057901573547605</v>
      </c>
      <c r="M177" s="20">
        <f>SUMPRODUCT($B$3:$K$3,B177:K177)</f>
        <v/>
      </c>
      <c r="N177" s="21">
        <f>N176*(1+M177)</f>
        <v/>
      </c>
      <c r="O177" s="21">
        <f>MAX(O176,N177)</f>
        <v/>
      </c>
      <c r="P177" s="20">
        <f>N177/O177-1</f>
        <v/>
      </c>
    </row>
    <row r="178">
      <c r="A178" s="18" t="inlineStr">
        <is>
          <t>2024-09-04</t>
        </is>
      </c>
      <c r="B178" s="19" t="n">
        <v>-0.008618736083091272</v>
      </c>
      <c r="C178" s="19" t="n">
        <v>-0.001318984733817308</v>
      </c>
      <c r="D178" s="19" t="n">
        <v>-0.004403111271176874</v>
      </c>
      <c r="E178" s="19" t="n">
        <v>0.001196367498348838</v>
      </c>
      <c r="F178" s="19" t="n">
        <v>-0.01221099113891433</v>
      </c>
      <c r="G178" s="19" t="n">
        <v>0.007907455182705192</v>
      </c>
      <c r="H178" s="19" t="n">
        <v>-0.0165673654975621</v>
      </c>
      <c r="I178" s="19" t="n">
        <v>0.01438764278672333</v>
      </c>
      <c r="J178" s="19" t="n">
        <v>-0.01025756579942316</v>
      </c>
      <c r="K178" s="19" t="n">
        <v>-0.03377591814914493</v>
      </c>
      <c r="L178" s="19" t="n">
        <v>-0.002046694820443951</v>
      </c>
      <c r="M178" s="20">
        <f>SUMPRODUCT($B$3:$K$3,B178:K178)</f>
        <v/>
      </c>
      <c r="N178" s="21">
        <f>N177*(1+M178)</f>
        <v/>
      </c>
      <c r="O178" s="21">
        <f>MAX(O177,N178)</f>
        <v/>
      </c>
      <c r="P178" s="20">
        <f>N178/O178-1</f>
        <v/>
      </c>
    </row>
    <row r="179">
      <c r="A179" s="18" t="inlineStr">
        <is>
          <t>2024-09-05</t>
        </is>
      </c>
      <c r="B179" s="19" t="n">
        <v>0.006927760619040768</v>
      </c>
      <c r="C179" s="19" t="n">
        <v>-0.001247112971377473</v>
      </c>
      <c r="D179" s="19" t="n">
        <v>-0.007750885992114376</v>
      </c>
      <c r="E179" s="19" t="n">
        <v>-0.01416091894729199</v>
      </c>
      <c r="F179" s="19" t="n">
        <v>-0.007802888420877729</v>
      </c>
      <c r="G179" s="19" t="n">
        <v>-0.002444448737394911</v>
      </c>
      <c r="H179" s="19" t="n">
        <v>0.02630818387135547</v>
      </c>
      <c r="I179" s="19" t="n">
        <v>-0.00924996638762321</v>
      </c>
      <c r="J179" s="19" t="n">
        <v>-0.009472808334421656</v>
      </c>
      <c r="K179" s="19" t="n">
        <v>-0.004098295340642322</v>
      </c>
      <c r="L179" s="19" t="n">
        <v>-0.002432422016352298</v>
      </c>
      <c r="M179" s="20">
        <f>SUMPRODUCT($B$3:$K$3,B179:K179)</f>
        <v/>
      </c>
      <c r="N179" s="21">
        <f>N178*(1+M179)</f>
        <v/>
      </c>
      <c r="O179" s="21">
        <f>MAX(O178,N179)</f>
        <v/>
      </c>
      <c r="P179" s="20">
        <f>N179/O179-1</f>
        <v/>
      </c>
    </row>
    <row r="180">
      <c r="A180" s="18" t="inlineStr">
        <is>
          <t>2024-09-06</t>
        </is>
      </c>
      <c r="B180" s="19" t="n">
        <v>-0.00701508628592773</v>
      </c>
      <c r="C180" s="19" t="n">
        <v>-0.01638141447387154</v>
      </c>
      <c r="D180" s="19" t="n">
        <v>-0.02375582867409565</v>
      </c>
      <c r="E180" s="19" t="n">
        <v>-0.003697322333426012</v>
      </c>
      <c r="F180" s="19" t="n">
        <v>-0.004683173316226585</v>
      </c>
      <c r="G180" s="19" t="n">
        <v>0.0006837622526525422</v>
      </c>
      <c r="H180" s="19" t="n">
        <v>-0.03653943460735232</v>
      </c>
      <c r="I180" s="19" t="n">
        <v>-0.004357060108751254</v>
      </c>
      <c r="J180" s="19" t="n">
        <v>-0.01259159510042407</v>
      </c>
      <c r="K180" s="19" t="n">
        <v>-0.003873228463839307</v>
      </c>
      <c r="L180" s="19" t="n">
        <v>-0.01683006116965957</v>
      </c>
      <c r="M180" s="20">
        <f>SUMPRODUCT($B$3:$K$3,B180:K180)</f>
        <v/>
      </c>
      <c r="N180" s="21">
        <f>N179*(1+M180)</f>
        <v/>
      </c>
      <c r="O180" s="21">
        <f>MAX(O179,N180)</f>
        <v/>
      </c>
      <c r="P180" s="20">
        <f>N180/O180-1</f>
        <v/>
      </c>
    </row>
    <row r="181">
      <c r="A181" s="18" t="inlineStr">
        <is>
          <t>2024-09-09</t>
        </is>
      </c>
      <c r="B181" s="19" t="n">
        <v>0.0004075502356704064</v>
      </c>
      <c r="C181" s="19" t="n">
        <v>0.01000740380265608</v>
      </c>
      <c r="D181" s="19" t="n">
        <v>0.02047432389492077</v>
      </c>
      <c r="E181" s="19" t="n">
        <v>0.01356603693346892</v>
      </c>
      <c r="F181" s="19" t="n">
        <v>0.02104045374517427</v>
      </c>
      <c r="G181" s="19" t="n">
        <v>0.002676682212775283</v>
      </c>
      <c r="H181" s="19" t="n">
        <v>0.0233968990087885</v>
      </c>
      <c r="I181" s="19" t="n">
        <v>0.01512894589349023</v>
      </c>
      <c r="J181" s="19" t="n">
        <v>0.01420949852728137</v>
      </c>
      <c r="K181" s="19" t="n">
        <v>0.03839629599019045</v>
      </c>
      <c r="L181" s="19" t="n">
        <v>0.01119612105813128</v>
      </c>
      <c r="M181" s="20">
        <f>SUMPRODUCT($B$3:$K$3,B181:K181)</f>
        <v/>
      </c>
      <c r="N181" s="21">
        <f>N180*(1+M181)</f>
        <v/>
      </c>
      <c r="O181" s="21">
        <f>MAX(O180,N181)</f>
        <v/>
      </c>
      <c r="P181" s="20">
        <f>N181/O181-1</f>
        <v/>
      </c>
    </row>
    <row r="182">
      <c r="A182" s="18" t="inlineStr">
        <is>
          <t>2024-09-10</t>
        </is>
      </c>
      <c r="B182" s="19" t="n">
        <v>-0.003621324505027168</v>
      </c>
      <c r="C182" s="19" t="n">
        <v>0.02090116324380631</v>
      </c>
      <c r="D182" s="19" t="n">
        <v>-0.05188879292510351</v>
      </c>
      <c r="E182" s="19" t="n">
        <v>0.004621645884438141</v>
      </c>
      <c r="F182" s="19" t="n">
        <v>-0.03643144215595484</v>
      </c>
      <c r="G182" s="19" t="n">
        <v>0.009826262408945796</v>
      </c>
      <c r="H182" s="19" t="n">
        <v>0.02366025826501827</v>
      </c>
      <c r="I182" s="19" t="n">
        <v>0.01367144240969043</v>
      </c>
      <c r="J182" s="19" t="n">
        <v>0.0003592054592487237</v>
      </c>
      <c r="K182" s="19" t="n">
        <v>0.02153049320298073</v>
      </c>
      <c r="L182" s="19" t="n">
        <v>0.004355957373518127</v>
      </c>
      <c r="M182" s="20">
        <f>SUMPRODUCT($B$3:$K$3,B182:K182)</f>
        <v/>
      </c>
      <c r="N182" s="21">
        <f>N181*(1+M182)</f>
        <v/>
      </c>
      <c r="O182" s="21">
        <f>MAX(O181,N182)</f>
        <v/>
      </c>
      <c r="P182" s="20">
        <f>N182/O182-1</f>
        <v/>
      </c>
    </row>
    <row r="183">
      <c r="A183" s="18" t="inlineStr">
        <is>
          <t>2024-09-11</t>
        </is>
      </c>
      <c r="B183" s="19" t="n">
        <v>0.01158522608953327</v>
      </c>
      <c r="C183" s="19" t="n">
        <v>0.0213423167988831</v>
      </c>
      <c r="D183" s="19" t="n">
        <v>0.008124220368230128</v>
      </c>
      <c r="E183" s="19" t="n">
        <v>-0.01529464747963283</v>
      </c>
      <c r="F183" s="19" t="n">
        <v>-0.009926172664067368</v>
      </c>
      <c r="G183" s="19" t="n">
        <v>-0.02176725237025023</v>
      </c>
      <c r="H183" s="19" t="n">
        <v>0.0276803182190446</v>
      </c>
      <c r="I183" s="19" t="n">
        <v>0.01373013755704511</v>
      </c>
      <c r="J183" s="19" t="n">
        <v>0.002513722553138642</v>
      </c>
      <c r="K183" s="19" t="n">
        <v>0.00343652917627324</v>
      </c>
      <c r="L183" s="19" t="n">
        <v>0.01025898557183913</v>
      </c>
      <c r="M183" s="20">
        <f>SUMPRODUCT($B$3:$K$3,B183:K183)</f>
        <v/>
      </c>
      <c r="N183" s="21">
        <f>N182*(1+M183)</f>
        <v/>
      </c>
      <c r="O183" s="21">
        <f>MAX(O182,N183)</f>
        <v/>
      </c>
      <c r="P183" s="20">
        <f>N183/O183-1</f>
        <v/>
      </c>
    </row>
    <row r="184">
      <c r="A184" s="18" t="inlineStr">
        <is>
          <t>2024-09-12</t>
        </is>
      </c>
      <c r="B184" s="19" t="n">
        <v>0.0004939468363112098</v>
      </c>
      <c r="C184" s="19" t="n">
        <v>0.009360793164597814</v>
      </c>
      <c r="D184" s="19" t="n">
        <v>-0.003039956075968631</v>
      </c>
      <c r="E184" s="19" t="n">
        <v>-0.001091978521620907</v>
      </c>
      <c r="F184" s="19" t="n">
        <v>0.01376236808249809</v>
      </c>
      <c r="G184" s="19" t="n">
        <v>-0.002587376985697443</v>
      </c>
      <c r="H184" s="19" t="n">
        <v>0.01344025401103477</v>
      </c>
      <c r="I184" s="19" t="n">
        <v>0.0003596854323908438</v>
      </c>
      <c r="J184" s="19" t="n">
        <v>0.01367157135767516</v>
      </c>
      <c r="K184" s="19" t="n">
        <v>0.001369665649264329</v>
      </c>
      <c r="L184" s="19" t="n">
        <v>0.008423137542477033</v>
      </c>
      <c r="M184" s="20">
        <f>SUMPRODUCT($B$3:$K$3,B184:K184)</f>
        <v/>
      </c>
      <c r="N184" s="21">
        <f>N183*(1+M184)</f>
        <v/>
      </c>
      <c r="O184" s="21">
        <f>MAX(O183,N184)</f>
        <v/>
      </c>
      <c r="P184" s="20">
        <f>N184/O184-1</f>
        <v/>
      </c>
    </row>
    <row r="185">
      <c r="A185" s="18" t="inlineStr">
        <is>
          <t>2024-09-13</t>
        </is>
      </c>
      <c r="B185" s="19" t="n">
        <v>-0.001212017316072345</v>
      </c>
      <c r="C185" s="19" t="n">
        <v>0.008407442736107384</v>
      </c>
      <c r="D185" s="19" t="n">
        <v>-0.01103588629369201</v>
      </c>
      <c r="E185" s="19" t="n">
        <v>0.005344941138534898</v>
      </c>
      <c r="F185" s="19" t="n">
        <v>-0.0007193901572332129</v>
      </c>
      <c r="G185" s="19" t="n">
        <v>0.003516344932307902</v>
      </c>
      <c r="H185" s="19" t="n">
        <v>-0.002727243352063646</v>
      </c>
      <c r="I185" s="19" t="n">
        <v>0.01425841650250037</v>
      </c>
      <c r="J185" s="19" t="n">
        <v>0.01687389781079696</v>
      </c>
      <c r="K185" s="19" t="n">
        <v>0.01299600936651113</v>
      </c>
      <c r="L185" s="19" t="n">
        <v>0.005222868726185714</v>
      </c>
      <c r="M185" s="20">
        <f>SUMPRODUCT($B$3:$K$3,B185:K185)</f>
        <v/>
      </c>
      <c r="N185" s="21">
        <f>N184*(1+M185)</f>
        <v/>
      </c>
      <c r="O185" s="21">
        <f>MAX(O184,N185)</f>
        <v/>
      </c>
      <c r="P185" s="20">
        <f>N185/O185-1</f>
        <v/>
      </c>
    </row>
    <row r="186">
      <c r="A186" s="18" t="inlineStr">
        <is>
          <t>2024-09-16</t>
        </is>
      </c>
      <c r="B186" s="19" t="n">
        <v>-0.02777524026517775</v>
      </c>
      <c r="C186" s="19" t="n">
        <v>0.00174180984366612</v>
      </c>
      <c r="D186" s="19" t="n">
        <v>0.01732569579778609</v>
      </c>
      <c r="E186" s="19" t="n">
        <v>0.008881050327443907</v>
      </c>
      <c r="F186" s="19" t="n">
        <v>0.01403524307416903</v>
      </c>
      <c r="G186" s="19" t="n">
        <v>0.01815262947938856</v>
      </c>
      <c r="H186" s="19" t="n">
        <v>-0.008579580976924239</v>
      </c>
      <c r="I186" s="19" t="n">
        <v>-0.0001181671585358535</v>
      </c>
      <c r="J186" s="19" t="n">
        <v>0.007674224248334971</v>
      </c>
      <c r="K186" s="19" t="n">
        <v>0.01282908415172845</v>
      </c>
      <c r="L186" s="19" t="n">
        <v>0.00147658203745582</v>
      </c>
      <c r="M186" s="20">
        <f>SUMPRODUCT($B$3:$K$3,B186:K186)</f>
        <v/>
      </c>
      <c r="N186" s="21">
        <f>N185*(1+M186)</f>
        <v/>
      </c>
      <c r="O186" s="21">
        <f>MAX(O185,N186)</f>
        <v/>
      </c>
      <c r="P186" s="20">
        <f>N186/O186-1</f>
        <v/>
      </c>
    </row>
    <row r="187">
      <c r="A187" s="18" t="inlineStr">
        <is>
          <t>2024-09-17</t>
        </is>
      </c>
      <c r="B187" s="19" t="n">
        <v>0.002172536714725393</v>
      </c>
      <c r="C187" s="19" t="n">
        <v>0.008833043081297953</v>
      </c>
      <c r="D187" s="19" t="n">
        <v>0.006687200026619822</v>
      </c>
      <c r="E187" s="19" t="n">
        <v>0.0004791885740147439</v>
      </c>
      <c r="F187" s="19" t="n">
        <v>0.01304226767472882</v>
      </c>
      <c r="G187" s="19" t="n">
        <v>-0.007673250795851683</v>
      </c>
      <c r="H187" s="19" t="n">
        <v>0.01076318621739092</v>
      </c>
      <c r="I187" s="19" t="n">
        <v>0.003899020922935259</v>
      </c>
      <c r="J187" s="19" t="n">
        <v>0.01646742881090768</v>
      </c>
      <c r="K187" s="19" t="n">
        <v>-0.02044430510170636</v>
      </c>
      <c r="L187" s="19" t="n">
        <v>0.0004086357464134771</v>
      </c>
      <c r="M187" s="20">
        <f>SUMPRODUCT($B$3:$K$3,B187:K187)</f>
        <v/>
      </c>
      <c r="N187" s="21">
        <f>N186*(1+M187)</f>
        <v/>
      </c>
      <c r="O187" s="21">
        <f>MAX(O186,N187)</f>
        <v/>
      </c>
      <c r="P187" s="20">
        <f>N187/O187-1</f>
        <v/>
      </c>
    </row>
    <row r="188">
      <c r="A188" s="18" t="inlineStr">
        <is>
          <t>2024-09-18</t>
        </is>
      </c>
      <c r="B188" s="19" t="n">
        <v>0.01798996925765173</v>
      </c>
      <c r="C188" s="19" t="n">
        <v>-0.009973677180359353</v>
      </c>
      <c r="D188" s="19" t="n">
        <v>-0.00821985133191061</v>
      </c>
      <c r="E188" s="19" t="n">
        <v>-0.005506872310555244</v>
      </c>
      <c r="F188" s="19" t="n">
        <v>0.003503235081649958</v>
      </c>
      <c r="G188" s="19" t="n">
        <v>-0.01114388469907268</v>
      </c>
      <c r="H188" s="19" t="n">
        <v>-0.002408027586008665</v>
      </c>
      <c r="I188" s="19" t="n">
        <v>-0.008120635840423995</v>
      </c>
      <c r="J188" s="19" t="n">
        <v>0.004043130617872759</v>
      </c>
      <c r="K188" s="19" t="n">
        <v>-0.004537340811243351</v>
      </c>
      <c r="L188" s="19" t="n">
        <v>-0.002965626101959273</v>
      </c>
      <c r="M188" s="20">
        <f>SUMPRODUCT($B$3:$K$3,B188:K188)</f>
        <v/>
      </c>
      <c r="N188" s="21">
        <f>N187*(1+M188)</f>
        <v/>
      </c>
      <c r="O188" s="21">
        <f>MAX(O187,N188)</f>
        <v/>
      </c>
      <c r="P188" s="20">
        <f>N188/O188-1</f>
        <v/>
      </c>
    </row>
    <row r="189">
      <c r="A189" s="18" t="inlineStr">
        <is>
          <t>2024-09-19</t>
        </is>
      </c>
      <c r="B189" s="19" t="n">
        <v>0.03706547749107991</v>
      </c>
      <c r="C189" s="19" t="n">
        <v>0.01829117666254332</v>
      </c>
      <c r="D189" s="19" t="n">
        <v>0.01421468126641456</v>
      </c>
      <c r="E189" s="19" t="n">
        <v>-0.008004750966857821</v>
      </c>
      <c r="F189" s="19" t="n">
        <v>0.01239309000466715</v>
      </c>
      <c r="G189" s="19" t="n">
        <v>-0.01368452224086736</v>
      </c>
      <c r="H189" s="19" t="n">
        <v>0.01845197970580159</v>
      </c>
      <c r="I189" s="19" t="n">
        <v>-0.02361187397014031</v>
      </c>
      <c r="J189" s="19" t="n">
        <v>0.05122220965584212</v>
      </c>
      <c r="K189" s="19" t="n">
        <v>0.001367267874685663</v>
      </c>
      <c r="L189" s="19" t="n">
        <v>0.0170641335890509</v>
      </c>
      <c r="M189" s="20">
        <f>SUMPRODUCT($B$3:$K$3,B189:K189)</f>
        <v/>
      </c>
      <c r="N189" s="21">
        <f>N188*(1+M189)</f>
        <v/>
      </c>
      <c r="O189" s="21">
        <f>MAX(O188,N189)</f>
        <v/>
      </c>
      <c r="P189" s="20">
        <f>N189/O189-1</f>
        <v/>
      </c>
    </row>
    <row r="190">
      <c r="A190" s="18" t="inlineStr">
        <is>
          <t>2024-09-20</t>
        </is>
      </c>
      <c r="B190" s="19" t="n">
        <v>-0.002927502727096742</v>
      </c>
      <c r="C190" s="19" t="n">
        <v>-0.00779602420784764</v>
      </c>
      <c r="D190" s="19" t="n">
        <v>0.002898212650517706</v>
      </c>
      <c r="E190" s="19" t="n">
        <v>-0.004004279570737346</v>
      </c>
      <c r="F190" s="19" t="n">
        <v>-0.006293125295484425</v>
      </c>
      <c r="G190" s="19" t="n">
        <v>0.01562323676228017</v>
      </c>
      <c r="H190" s="19" t="n">
        <v>0.009111555436973173</v>
      </c>
      <c r="I190" s="19" t="n">
        <v>0.005711562925194258</v>
      </c>
      <c r="J190" s="19" t="n">
        <v>-0.01202749457626129</v>
      </c>
      <c r="K190" s="19" t="n">
        <v>0.008875749894167839</v>
      </c>
      <c r="L190" s="19" t="n">
        <v>-0.001728507684767289</v>
      </c>
      <c r="M190" s="20">
        <f>SUMPRODUCT($B$3:$K$3,B190:K190)</f>
        <v/>
      </c>
      <c r="N190" s="21">
        <f>N189*(1+M190)</f>
        <v/>
      </c>
      <c r="O190" s="21">
        <f>MAX(O189,N190)</f>
        <v/>
      </c>
      <c r="P190" s="20">
        <f>N190/O190-1</f>
        <v/>
      </c>
    </row>
    <row r="191">
      <c r="A191" s="18" t="inlineStr">
        <is>
          <t>2024-09-23</t>
        </is>
      </c>
      <c r="B191" s="19" t="n">
        <v>-0.007581020828456353</v>
      </c>
      <c r="C191" s="19" t="n">
        <v>-0.004043338711109734</v>
      </c>
      <c r="D191" s="19" t="n">
        <v>0.001658157692950857</v>
      </c>
      <c r="E191" s="19" t="n">
        <v>-0.005726156850974773</v>
      </c>
      <c r="F191" s="19" t="n">
        <v>0.01813137621121941</v>
      </c>
      <c r="G191" s="19" t="n">
        <v>-0.00258282921898001</v>
      </c>
      <c r="H191" s="19" t="n">
        <v>0.01189978448155737</v>
      </c>
      <c r="I191" s="19" t="n">
        <v>0.0248912085901527</v>
      </c>
      <c r="J191" s="19" t="n">
        <v>0.006371708525184649</v>
      </c>
      <c r="K191" s="19" t="n">
        <v>-0.001579035200172552</v>
      </c>
      <c r="L191" s="19" t="n">
        <v>0.002499066229211033</v>
      </c>
      <c r="M191" s="20">
        <f>SUMPRODUCT($B$3:$K$3,B191:K191)</f>
        <v/>
      </c>
      <c r="N191" s="21">
        <f>N190*(1+M191)</f>
        <v/>
      </c>
      <c r="O191" s="21">
        <f>MAX(O190,N191)</f>
        <v/>
      </c>
      <c r="P191" s="20">
        <f>N191/O191-1</f>
        <v/>
      </c>
    </row>
    <row r="192">
      <c r="A192" s="18" t="inlineStr">
        <is>
          <t>2024-09-24</t>
        </is>
      </c>
      <c r="B192" s="19" t="n">
        <v>0.00397396202900091</v>
      </c>
      <c r="C192" s="19" t="n">
        <v>-0.01001140847058579</v>
      </c>
      <c r="D192" s="19" t="n">
        <v>0.0007092692436283521</v>
      </c>
      <c r="E192" s="19" t="n">
        <v>-0.002695721020258945</v>
      </c>
      <c r="F192" s="19" t="n">
        <v>-0.002641451421760532</v>
      </c>
      <c r="G192" s="19" t="n">
        <v>-0.00305022010574385</v>
      </c>
      <c r="H192" s="19" t="n">
        <v>0.0004126358007008335</v>
      </c>
      <c r="I192" s="19" t="n">
        <v>-0.006248494861634146</v>
      </c>
      <c r="J192" s="19" t="n">
        <v>0.03976594614701745</v>
      </c>
      <c r="K192" s="19" t="n">
        <v>0.009037679483548722</v>
      </c>
      <c r="L192" s="19" t="n">
        <v>0.002861029135231785</v>
      </c>
      <c r="M192" s="20">
        <f>SUMPRODUCT($B$3:$K$3,B192:K192)</f>
        <v/>
      </c>
      <c r="N192" s="21">
        <f>N191*(1+M192)</f>
        <v/>
      </c>
      <c r="O192" s="21">
        <f>MAX(O191,N192)</f>
        <v/>
      </c>
      <c r="P192" s="20">
        <f>N192/O192-1</f>
        <v/>
      </c>
    </row>
    <row r="193">
      <c r="A193" s="18" t="inlineStr">
        <is>
          <t>2024-09-25</t>
        </is>
      </c>
      <c r="B193" s="19" t="n">
        <v>-0.004398163562176149</v>
      </c>
      <c r="C193" s="19" t="n">
        <v>0.00685045148043506</v>
      </c>
      <c r="D193" s="19" t="n">
        <v>-0.006616506956237167</v>
      </c>
      <c r="E193" s="19" t="n">
        <v>-0.013392241357985</v>
      </c>
      <c r="F193" s="19" t="n">
        <v>-0.01947890846449551</v>
      </c>
      <c r="G193" s="19" t="n">
        <v>-0.005656899717387365</v>
      </c>
      <c r="H193" s="19" t="n">
        <v>-0.007372694808574054</v>
      </c>
      <c r="I193" s="19" t="n">
        <v>0.003915211072199165</v>
      </c>
      <c r="J193" s="19" t="n">
        <v>-0.01989994024166097</v>
      </c>
      <c r="K193" s="19" t="n">
        <v>-0.002463088966563109</v>
      </c>
      <c r="L193" s="19" t="n">
        <v>-0.002205476813856522</v>
      </c>
      <c r="M193" s="20">
        <f>SUMPRODUCT($B$3:$K$3,B193:K193)</f>
        <v/>
      </c>
      <c r="N193" s="21">
        <f>N192*(1+M193)</f>
        <v/>
      </c>
      <c r="O193" s="21">
        <f>MAX(O192,N193)</f>
        <v/>
      </c>
      <c r="P193" s="20">
        <f>N193/O193-1</f>
        <v/>
      </c>
    </row>
    <row r="194">
      <c r="A194" s="18" t="inlineStr">
        <is>
          <t>2024-09-26</t>
        </is>
      </c>
      <c r="B194" s="19" t="n">
        <v>0.005080235185349169</v>
      </c>
      <c r="C194" s="19" t="n">
        <v>-0.001851399755638528</v>
      </c>
      <c r="D194" s="19" t="n">
        <v>-0.001950592061349066</v>
      </c>
      <c r="E194" s="19" t="n">
        <v>0.004918860120235014</v>
      </c>
      <c r="F194" s="19" t="n">
        <v>-0.01716467137104394</v>
      </c>
      <c r="G194" s="19" t="n">
        <v>0.005515096514422835</v>
      </c>
      <c r="H194" s="19" t="n">
        <v>-0.007115748848874226</v>
      </c>
      <c r="I194" s="19" t="n">
        <v>-0.01370851888375091</v>
      </c>
      <c r="J194" s="19" t="n">
        <v>0.03360206461839454</v>
      </c>
      <c r="K194" s="19" t="n">
        <v>0.001571139608259609</v>
      </c>
      <c r="L194" s="19" t="n">
        <v>0.003964786856283542</v>
      </c>
      <c r="M194" s="20">
        <f>SUMPRODUCT($B$3:$K$3,B194:K194)</f>
        <v/>
      </c>
      <c r="N194" s="21">
        <f>N193*(1+M194)</f>
        <v/>
      </c>
      <c r="O194" s="21">
        <f>MAX(O193,N194)</f>
        <v/>
      </c>
      <c r="P194" s="20">
        <f>N194/O194-1</f>
        <v/>
      </c>
    </row>
    <row r="195">
      <c r="A195" s="18" t="inlineStr">
        <is>
          <t>2024-09-27</t>
        </is>
      </c>
      <c r="B195" s="19" t="n">
        <v>0.001186713809709028</v>
      </c>
      <c r="C195" s="19" t="n">
        <v>-0.007627839569634309</v>
      </c>
      <c r="D195" s="19" t="n">
        <v>0.003432144971232454</v>
      </c>
      <c r="E195" s="19" t="n">
        <v>6.19769695178185e-05</v>
      </c>
      <c r="F195" s="19" t="n">
        <v>0.02677295669098578</v>
      </c>
      <c r="G195" s="19" t="n">
        <v>0.001962852064681275</v>
      </c>
      <c r="H195" s="19" t="n">
        <v>-0.01668760399819202</v>
      </c>
      <c r="I195" s="19" t="n">
        <v>0.01294043198707295</v>
      </c>
      <c r="J195" s="19" t="n">
        <v>0.0003069886358997298</v>
      </c>
      <c r="K195" s="19" t="n">
        <v>0.006051202316188498</v>
      </c>
      <c r="L195" s="19" t="n">
        <v>-0.001450399986557604</v>
      </c>
      <c r="M195" s="20">
        <f>SUMPRODUCT($B$3:$K$3,B195:K195)</f>
        <v/>
      </c>
      <c r="N195" s="21">
        <f>N194*(1+M195)</f>
        <v/>
      </c>
      <c r="O195" s="21">
        <f>MAX(O194,N195)</f>
        <v/>
      </c>
      <c r="P195" s="20">
        <f>N195/O195-1</f>
        <v/>
      </c>
    </row>
    <row r="196">
      <c r="A196" s="18" t="inlineStr">
        <is>
          <t>2024-09-30</t>
        </is>
      </c>
      <c r="B196" s="19" t="n">
        <v>0.02287201120786708</v>
      </c>
      <c r="C196" s="19" t="n">
        <v>0.005326767892252615</v>
      </c>
      <c r="D196" s="19" t="n">
        <v>0.001710316122586653</v>
      </c>
      <c r="E196" s="19" t="n">
        <v>0.004089328327048891</v>
      </c>
      <c r="F196" s="19" t="n">
        <v>0.01208784471069069</v>
      </c>
      <c r="G196" s="19" t="n">
        <v>-0.00201672565525024</v>
      </c>
      <c r="H196" s="19" t="n">
        <v>-0.008724793206352333</v>
      </c>
      <c r="I196" s="19" t="n">
        <v>-0.0001185123691780365</v>
      </c>
      <c r="J196" s="19" t="n">
        <v>0.0001022981409333212</v>
      </c>
      <c r="K196" s="19" t="n">
        <v>0.0004455662668647609</v>
      </c>
      <c r="L196" s="19" t="n">
        <v>0.004007314436067722</v>
      </c>
      <c r="M196" s="20">
        <f>SUMPRODUCT($B$3:$K$3,B196:K196)</f>
        <v/>
      </c>
      <c r="N196" s="21">
        <f>N195*(1+M196)</f>
        <v/>
      </c>
      <c r="O196" s="21">
        <f>MAX(O195,N196)</f>
        <v/>
      </c>
      <c r="P196" s="20">
        <f>N196/O196-1</f>
        <v/>
      </c>
    </row>
    <row r="197">
      <c r="A197" s="18" t="inlineStr">
        <is>
          <t>2024-10-01</t>
        </is>
      </c>
      <c r="B197" s="19" t="n">
        <v>-0.02914163785067536</v>
      </c>
      <c r="C197" s="19" t="n">
        <v>-0.02233323091364725</v>
      </c>
      <c r="D197" s="19" t="n">
        <v>-0.01811650920589769</v>
      </c>
      <c r="E197" s="19" t="n">
        <v>-0.0004318463473800271</v>
      </c>
      <c r="F197" s="19" t="n">
        <v>0.0231188947142853</v>
      </c>
      <c r="G197" s="19" t="n">
        <v>-0.0009237867987472725</v>
      </c>
      <c r="H197" s="19" t="n">
        <v>-0.006440170323887107</v>
      </c>
      <c r="I197" s="19" t="n">
        <v>0.008754391724443478</v>
      </c>
      <c r="J197" s="19" t="n">
        <v>0.003247133905685873</v>
      </c>
      <c r="K197" s="19" t="n">
        <v>0.006680130029199205</v>
      </c>
      <c r="L197" s="19" t="n">
        <v>-0.00895843135052643</v>
      </c>
      <c r="M197" s="20">
        <f>SUMPRODUCT($B$3:$K$3,B197:K197)</f>
        <v/>
      </c>
      <c r="N197" s="21">
        <f>N196*(1+M197)</f>
        <v/>
      </c>
      <c r="O197" s="21">
        <f>MAX(O196,N197)</f>
        <v/>
      </c>
      <c r="P197" s="20">
        <f>N197/O197-1</f>
        <v/>
      </c>
    </row>
    <row r="198">
      <c r="A198" s="18" t="inlineStr">
        <is>
          <t>2024-10-02</t>
        </is>
      </c>
      <c r="B198" s="19" t="n">
        <v>0.002519671928430611</v>
      </c>
      <c r="C198" s="19" t="n">
        <v>-0.008462217975192643</v>
      </c>
      <c r="D198" s="19" t="n">
        <v>0.001207621879574017</v>
      </c>
      <c r="E198" s="19" t="n">
        <v>-0.00506219285392695</v>
      </c>
      <c r="F198" s="19" t="n">
        <v>0.01325766850443366</v>
      </c>
      <c r="G198" s="19" t="n">
        <v>-0.006472579858127436</v>
      </c>
      <c r="H198" s="19" t="n">
        <v>-0.001998651575744081</v>
      </c>
      <c r="I198" s="19" t="n">
        <v>0.001876358153018121</v>
      </c>
      <c r="J198" s="19" t="n">
        <v>0.004230362311862468</v>
      </c>
      <c r="K198" s="19" t="n">
        <v>-0.00353910723110118</v>
      </c>
      <c r="L198" s="19" t="n">
        <v>0.0004220236379359754</v>
      </c>
      <c r="M198" s="20">
        <f>SUMPRODUCT($B$3:$K$3,B198:K198)</f>
        <v/>
      </c>
      <c r="N198" s="21">
        <f>N197*(1+M198)</f>
        <v/>
      </c>
      <c r="O198" s="21">
        <f>MAX(O197,N198)</f>
        <v/>
      </c>
      <c r="P198" s="20">
        <f>N198/O198-1</f>
        <v/>
      </c>
    </row>
    <row r="199">
      <c r="A199" s="18" t="inlineStr">
        <is>
          <t>2024-10-03</t>
        </is>
      </c>
      <c r="B199" s="19" t="n">
        <v>-0.00489444369133829</v>
      </c>
      <c r="C199" s="19" t="n">
        <v>-0.001414318257502711</v>
      </c>
      <c r="D199" s="19" t="n">
        <v>-0.00993765141784797</v>
      </c>
      <c r="E199" s="19" t="n">
        <v>-0.004157025554074378</v>
      </c>
      <c r="F199" s="19" t="n">
        <v>0.008722890908170911</v>
      </c>
      <c r="G199" s="19" t="n">
        <v>-0.0104700957783791</v>
      </c>
      <c r="H199" s="19" t="n">
        <v>-0.01515472979116794</v>
      </c>
      <c r="I199" s="19" t="n">
        <v>-0.004447933515079106</v>
      </c>
      <c r="J199" s="19" t="n">
        <v>-0.007511656963775648</v>
      </c>
      <c r="K199" s="19" t="n">
        <v>-0.01176484558024737</v>
      </c>
      <c r="L199" s="19" t="n">
        <v>-0.00182832694911772</v>
      </c>
      <c r="M199" s="20">
        <f>SUMPRODUCT($B$3:$K$3,B199:K199)</f>
        <v/>
      </c>
      <c r="N199" s="21">
        <f>N198*(1+M199)</f>
        <v/>
      </c>
      <c r="O199" s="21">
        <f>MAX(O198,N199)</f>
        <v/>
      </c>
      <c r="P199" s="20">
        <f>N199/O199-1</f>
        <v/>
      </c>
    </row>
    <row r="200">
      <c r="A200" s="18" t="inlineStr">
        <is>
          <t>2024-10-04</t>
        </is>
      </c>
      <c r="B200" s="19" t="n">
        <v>0.005007288901567541</v>
      </c>
      <c r="C200" s="19" t="n">
        <v>-0.001152496085041088</v>
      </c>
      <c r="D200" s="19" t="n">
        <v>0.03549351367943254</v>
      </c>
      <c r="E200" s="19" t="n">
        <v>-0.001308432242668744</v>
      </c>
      <c r="F200" s="19" t="n">
        <v>0.01835541384671302</v>
      </c>
      <c r="G200" s="19" t="n">
        <v>-0.007288755177667805</v>
      </c>
      <c r="H200" s="19" t="n">
        <v>0.02500542770436165</v>
      </c>
      <c r="I200" s="19" t="n">
        <v>-0.01410937194463702</v>
      </c>
      <c r="J200" s="19" t="n">
        <v>0.01534176902150852</v>
      </c>
      <c r="K200" s="19" t="n">
        <v>-0.007636992714685875</v>
      </c>
      <c r="L200" s="19" t="n">
        <v>0.009087448005743015</v>
      </c>
      <c r="M200" s="20">
        <f>SUMPRODUCT($B$3:$K$3,B200:K200)</f>
        <v/>
      </c>
      <c r="N200" s="21">
        <f>N199*(1+M200)</f>
        <v/>
      </c>
      <c r="O200" s="21">
        <f>MAX(O199,N200)</f>
        <v/>
      </c>
      <c r="P200" s="20">
        <f>N200/O200-1</f>
        <v/>
      </c>
    </row>
    <row r="201">
      <c r="A201" s="18" t="inlineStr">
        <is>
          <t>2024-10-07</t>
        </is>
      </c>
      <c r="B201" s="19" t="n">
        <v>-0.02253081017566871</v>
      </c>
      <c r="C201" s="19" t="n">
        <v>-0.01567075236956761</v>
      </c>
      <c r="D201" s="19" t="n">
        <v>-0.00137298559012311</v>
      </c>
      <c r="E201" s="19" t="n">
        <v>-0.004741468145845307</v>
      </c>
      <c r="F201" s="19" t="n">
        <v>0.00432575235724264</v>
      </c>
      <c r="G201" s="19" t="n">
        <v>-0.01042168805102917</v>
      </c>
      <c r="H201" s="19" t="n">
        <v>-0.03061493551686778</v>
      </c>
      <c r="I201" s="19" t="n">
        <v>-0.04245680421607878</v>
      </c>
      <c r="J201" s="19" t="n">
        <v>0.002921115236944383</v>
      </c>
      <c r="K201" s="19" t="n">
        <v>-0.007695765217586525</v>
      </c>
      <c r="L201" s="19" t="n">
        <v>-0.009040483777859709</v>
      </c>
      <c r="M201" s="20">
        <f>SUMPRODUCT($B$3:$K$3,B201:K201)</f>
        <v/>
      </c>
      <c r="N201" s="21">
        <f>N200*(1+M201)</f>
        <v/>
      </c>
      <c r="O201" s="21">
        <f>MAX(O200,N201)</f>
        <v/>
      </c>
      <c r="P201" s="20">
        <f>N201/O201-1</f>
        <v/>
      </c>
    </row>
    <row r="202">
      <c r="A202" s="18" t="inlineStr">
        <is>
          <t>2024-10-08</t>
        </is>
      </c>
      <c r="B202" s="19" t="n">
        <v>0.01840402827566368</v>
      </c>
      <c r="C202" s="19" t="n">
        <v>0.01262399410435711</v>
      </c>
      <c r="D202" s="19" t="n">
        <v>-0.0008533489488450341</v>
      </c>
      <c r="E202" s="19" t="n">
        <v>0.001003092169177044</v>
      </c>
      <c r="F202" s="19" t="n">
        <v>-0.0265612380278093</v>
      </c>
      <c r="G202" s="19" t="n">
        <v>0.006223213291940866</v>
      </c>
      <c r="H202" s="19" t="n">
        <v>0.01061945871978587</v>
      </c>
      <c r="I202" s="19" t="n">
        <v>0.002615558729065715</v>
      </c>
      <c r="J202" s="19" t="n">
        <v>-0.02583795087171648</v>
      </c>
      <c r="K202" s="19" t="n">
        <v>0.003877575861829907</v>
      </c>
      <c r="L202" s="19" t="n">
        <v>0.009457723046495614</v>
      </c>
      <c r="M202" s="20">
        <f>SUMPRODUCT($B$3:$K$3,B202:K202)</f>
        <v/>
      </c>
      <c r="N202" s="21">
        <f>N201*(1+M202)</f>
        <v/>
      </c>
      <c r="O202" s="21">
        <f>MAX(O201,N202)</f>
        <v/>
      </c>
      <c r="P202" s="20">
        <f>N202/O202-1</f>
        <v/>
      </c>
    </row>
    <row r="203">
      <c r="A203" s="18" t="inlineStr">
        <is>
          <t>2024-10-09</t>
        </is>
      </c>
      <c r="B203" s="19" t="n">
        <v>0.01669833639535345</v>
      </c>
      <c r="C203" s="19" t="n">
        <v>0.006630941548401159</v>
      </c>
      <c r="D203" s="19" t="n">
        <v>0.01266907028197783</v>
      </c>
      <c r="E203" s="19" t="n">
        <v>0.006011513258261436</v>
      </c>
      <c r="F203" s="19" t="n">
        <v>0.0004095844221148059</v>
      </c>
      <c r="G203" s="19" t="n">
        <v>0.00660084465221833</v>
      </c>
      <c r="H203" s="19" t="n">
        <v>0.0134084770789975</v>
      </c>
      <c r="I203" s="19" t="n">
        <v>0.0009938709948209556</v>
      </c>
      <c r="J203" s="19" t="n">
        <v>0.02121370392760569</v>
      </c>
      <c r="K203" s="19" t="n">
        <v>0.002272279436019264</v>
      </c>
      <c r="L203" s="19" t="n">
        <v>0.006926360424582612</v>
      </c>
      <c r="M203" s="20">
        <f>SUMPRODUCT($B$3:$K$3,B203:K203)</f>
        <v/>
      </c>
      <c r="N203" s="21">
        <f>N202*(1+M203)</f>
        <v/>
      </c>
      <c r="O203" s="21">
        <f>MAX(O202,N203)</f>
        <v/>
      </c>
      <c r="P203" s="20">
        <f>N203/O203-1</f>
        <v/>
      </c>
    </row>
    <row r="204">
      <c r="A204" s="18" t="inlineStr">
        <is>
          <t>2024-10-10</t>
        </is>
      </c>
      <c r="B204" s="19" t="n">
        <v>-0.002178258730965665</v>
      </c>
      <c r="C204" s="19" t="n">
        <v>-0.003880638887463594</v>
      </c>
      <c r="D204" s="19" t="n">
        <v>-0.002717590707485229</v>
      </c>
      <c r="E204" s="19" t="n">
        <v>-0.0008713735006004031</v>
      </c>
      <c r="F204" s="19" t="n">
        <v>0.008600216521154502</v>
      </c>
      <c r="G204" s="19" t="n">
        <v>-0.001890564379753878</v>
      </c>
      <c r="H204" s="19" t="n">
        <v>0.007992632403596822</v>
      </c>
      <c r="I204" s="19" t="n">
        <v>0.004467376281918956</v>
      </c>
      <c r="J204" s="19" t="n">
        <v>0.001135714262028742</v>
      </c>
      <c r="K204" s="19" t="n">
        <v>-0.01109782468517151</v>
      </c>
      <c r="L204" s="19" t="n">
        <v>-0.001750054746689433</v>
      </c>
      <c r="M204" s="20">
        <f>SUMPRODUCT($B$3:$K$3,B204:K204)</f>
        <v/>
      </c>
      <c r="N204" s="21">
        <f>N203*(1+M204)</f>
        <v/>
      </c>
      <c r="O204" s="21">
        <f>MAX(O203,N204)</f>
        <v/>
      </c>
      <c r="P204" s="20">
        <f>N204/O204-1</f>
        <v/>
      </c>
    </row>
    <row r="205">
      <c r="A205" s="18" t="inlineStr">
        <is>
          <t>2024-10-11</t>
        </is>
      </c>
      <c r="B205" s="19" t="n">
        <v>-0.006505308869998783</v>
      </c>
      <c r="C205" s="19" t="n">
        <v>0.001154361847748309</v>
      </c>
      <c r="D205" s="19" t="n">
        <v>0.04439952077014153</v>
      </c>
      <c r="E205" s="19" t="n">
        <v>0.005918485676881247</v>
      </c>
      <c r="F205" s="19" t="n">
        <v>0.003816824400777241</v>
      </c>
      <c r="G205" s="19" t="n">
        <v>0.01266649553172905</v>
      </c>
      <c r="H205" s="19" t="n">
        <v>0.01162611036000261</v>
      </c>
      <c r="I205" s="19" t="n">
        <v>0.0113666859574304</v>
      </c>
      <c r="J205" s="19" t="n">
        <v>0.01356382196398331</v>
      </c>
      <c r="K205" s="19" t="n">
        <v>0.001164231753606026</v>
      </c>
      <c r="L205" s="19" t="n">
        <v>0.005988364033485238</v>
      </c>
      <c r="M205" s="20">
        <f>SUMPRODUCT($B$3:$K$3,B205:K205)</f>
        <v/>
      </c>
      <c r="N205" s="21">
        <f>N204*(1+M205)</f>
        <v/>
      </c>
      <c r="O205" s="21">
        <f>MAX(O204,N205)</f>
        <v/>
      </c>
      <c r="P205" s="20">
        <f>N205/O205-1</f>
        <v/>
      </c>
    </row>
    <row r="206">
      <c r="A206" s="18" t="inlineStr">
        <is>
          <t>2024-10-14</t>
        </is>
      </c>
      <c r="B206" s="19" t="n">
        <v>0.01647987812567497</v>
      </c>
      <c r="C206" s="19" t="n">
        <v>0.006773655914899201</v>
      </c>
      <c r="D206" s="19" t="n">
        <v>-0.003643896555026283</v>
      </c>
      <c r="E206" s="19" t="n">
        <v>0.0008672016322104348</v>
      </c>
      <c r="F206" s="19" t="n">
        <v>0.003802311644911738</v>
      </c>
      <c r="G206" s="19" t="n">
        <v>0.008299801160206233</v>
      </c>
      <c r="H206" s="19" t="n">
        <v>-0.006779016992029097</v>
      </c>
      <c r="I206" s="19" t="n">
        <v>0.01282667527696946</v>
      </c>
      <c r="J206" s="19" t="n">
        <v>-0.02007365462281108</v>
      </c>
      <c r="K206" s="19" t="n">
        <v>0.004418677071786448</v>
      </c>
      <c r="L206" s="19" t="n">
        <v>0.008178184812949185</v>
      </c>
      <c r="M206" s="20">
        <f>SUMPRODUCT($B$3:$K$3,B206:K206)</f>
        <v/>
      </c>
      <c r="N206" s="21">
        <f>N205*(1+M206)</f>
        <v/>
      </c>
      <c r="O206" s="21">
        <f>MAX(O205,N206)</f>
        <v/>
      </c>
      <c r="P206" s="20">
        <f>N206/O206-1</f>
        <v/>
      </c>
    </row>
    <row r="207">
      <c r="A207" s="18" t="inlineStr">
        <is>
          <t>2024-10-15</t>
        </is>
      </c>
      <c r="B207" s="19" t="n">
        <v>0.0110246138990362</v>
      </c>
      <c r="C207" s="19" t="n">
        <v>-0.0009543819622400695</v>
      </c>
      <c r="D207" s="19" t="n">
        <v>0.004108667817100287</v>
      </c>
      <c r="E207" s="19" t="n">
        <v>0.01547021845151297</v>
      </c>
      <c r="F207" s="19" t="n">
        <v>-0.03006136372978285</v>
      </c>
      <c r="G207" s="19" t="n">
        <v>0.006144624405865606</v>
      </c>
      <c r="H207" s="19" t="n">
        <v>0.0007998782160802964</v>
      </c>
      <c r="I207" s="19" t="n">
        <v>-0.001447277026412341</v>
      </c>
      <c r="J207" s="19" t="n">
        <v>-0.01512883916952767</v>
      </c>
      <c r="K207" s="19" t="n">
        <v>0.01273439180109692</v>
      </c>
      <c r="L207" s="19" t="n">
        <v>-0.007769554234863363</v>
      </c>
      <c r="M207" s="20">
        <f>SUMPRODUCT($B$3:$K$3,B207:K207)</f>
        <v/>
      </c>
      <c r="N207" s="21">
        <f>N206*(1+M207)</f>
        <v/>
      </c>
      <c r="O207" s="21">
        <f>MAX(O206,N207)</f>
        <v/>
      </c>
      <c r="P207" s="20">
        <f>N207/O207-1</f>
        <v/>
      </c>
    </row>
    <row r="208">
      <c r="A208" s="18" t="inlineStr">
        <is>
          <t>2024-10-16</t>
        </is>
      </c>
      <c r="B208" s="19" t="n">
        <v>-0.008851951803525271</v>
      </c>
      <c r="C208" s="19" t="n">
        <v>-0.006256862656841666</v>
      </c>
      <c r="D208" s="19" t="n">
        <v>0.005620856661191276</v>
      </c>
      <c r="E208" s="19" t="n">
        <v>0.001096965960584839</v>
      </c>
      <c r="F208" s="19" t="n">
        <v>0.002575894464500017</v>
      </c>
      <c r="G208" s="19" t="n">
        <v>-0.00685624342735347</v>
      </c>
      <c r="H208" s="19" t="n">
        <v>-0.004262363692000948</v>
      </c>
      <c r="I208" s="19" t="n">
        <v>0.01932594058081927</v>
      </c>
      <c r="J208" s="19" t="n">
        <v>0.01451085805059127</v>
      </c>
      <c r="K208" s="19" t="n">
        <v>0.003886619841997563</v>
      </c>
      <c r="L208" s="19" t="n">
        <v>0.004346329024053963</v>
      </c>
      <c r="M208" s="20">
        <f>SUMPRODUCT($B$3:$K$3,B208:K208)</f>
        <v/>
      </c>
      <c r="N208" s="21">
        <f>N207*(1+M208)</f>
        <v/>
      </c>
      <c r="O208" s="21">
        <f>MAX(O207,N208)</f>
        <v/>
      </c>
      <c r="P208" s="20">
        <f>N208/O208-1</f>
        <v/>
      </c>
    </row>
    <row r="209">
      <c r="A209" s="18" t="inlineStr">
        <is>
          <t>2024-10-17</t>
        </is>
      </c>
      <c r="B209" s="19" t="n">
        <v>0.001596397219316037</v>
      </c>
      <c r="C209" s="19" t="n">
        <v>0.001442037175311661</v>
      </c>
      <c r="D209" s="19" t="n">
        <v>0.003487640485007937</v>
      </c>
      <c r="E209" s="19" t="n">
        <v>0.001156454521237249</v>
      </c>
      <c r="F209" s="19" t="n">
        <v>-0.002569276279952626</v>
      </c>
      <c r="G209" s="19" t="n">
        <v>-0.0005800782680576155</v>
      </c>
      <c r="H209" s="19" t="n">
        <v>0.003424471035039733</v>
      </c>
      <c r="I209" s="19" t="n">
        <v>-0.007228486774370269</v>
      </c>
      <c r="J209" s="19" t="n">
        <v>0.002210130027515467</v>
      </c>
      <c r="K209" s="19" t="n">
        <v>-0.001366592246732079</v>
      </c>
      <c r="L209" s="19" t="n">
        <v>8.589626262245353e-05</v>
      </c>
      <c r="M209" s="20">
        <f>SUMPRODUCT($B$3:$K$3,B209:K209)</f>
        <v/>
      </c>
      <c r="N209" s="21">
        <f>N208*(1+M209)</f>
        <v/>
      </c>
      <c r="O209" s="21">
        <f>MAX(O208,N209)</f>
        <v/>
      </c>
      <c r="P209" s="20">
        <f>N209/O209-1</f>
        <v/>
      </c>
    </row>
    <row r="210">
      <c r="A210" s="18" t="inlineStr">
        <is>
          <t>2024-10-18</t>
        </is>
      </c>
      <c r="B210" s="19" t="n">
        <v>0.01227660344984827</v>
      </c>
      <c r="C210" s="19" t="n">
        <v>0.003455474216245369</v>
      </c>
      <c r="D210" s="19" t="n">
        <v>0.004233139479041137</v>
      </c>
      <c r="E210" s="19" t="n">
        <v>0.00395218053501134</v>
      </c>
      <c r="F210" s="19" t="n">
        <v>-0.002824960904679763</v>
      </c>
      <c r="G210" s="19" t="n">
        <v>4.103755272599763e-05</v>
      </c>
      <c r="H210" s="19" t="n">
        <v>0.007785456851548744</v>
      </c>
      <c r="I210" s="19" t="n">
        <v>0.007161820573216016</v>
      </c>
      <c r="J210" s="19" t="n">
        <v>-0.001596931481093633</v>
      </c>
      <c r="K210" s="19" t="n">
        <v>0.003192883565951155</v>
      </c>
      <c r="L210" s="19" t="n">
        <v>0.003846556772499454</v>
      </c>
      <c r="M210" s="20">
        <f>SUMPRODUCT($B$3:$K$3,B210:K210)</f>
        <v/>
      </c>
      <c r="N210" s="21">
        <f>N209*(1+M210)</f>
        <v/>
      </c>
      <c r="O210" s="21">
        <f>MAX(O209,N210)</f>
        <v/>
      </c>
      <c r="P210" s="20">
        <f>N210/O210-1</f>
        <v/>
      </c>
    </row>
    <row r="211">
      <c r="A211" s="18" t="inlineStr">
        <is>
          <t>2024-10-21</t>
        </is>
      </c>
      <c r="B211" s="19" t="n">
        <v>0.006297895587937585</v>
      </c>
      <c r="C211" s="19" t="n">
        <v>0.001482595790299968</v>
      </c>
      <c r="D211" s="19" t="n">
        <v>-0.01051597559497097</v>
      </c>
      <c r="E211" s="19" t="n">
        <v>-0.01386850690459906</v>
      </c>
      <c r="F211" s="19" t="n">
        <v>0.000583185509182238</v>
      </c>
      <c r="G211" s="19" t="n">
        <v>-0.01015894809084128</v>
      </c>
      <c r="H211" s="19" t="n">
        <v>0.0004233124965835611</v>
      </c>
      <c r="I211" s="19" t="n">
        <v>-0.004148029276076826</v>
      </c>
      <c r="J211" s="19" t="n">
        <v>-0.0050197167988969</v>
      </c>
      <c r="K211" s="19" t="n">
        <v>-0.006592453460181225</v>
      </c>
      <c r="L211" s="19" t="n">
        <v>-0.001642192227284345</v>
      </c>
      <c r="M211" s="20">
        <f>SUMPRODUCT($B$3:$K$3,B211:K211)</f>
        <v/>
      </c>
      <c r="N211" s="21">
        <f>N210*(1+M211)</f>
        <v/>
      </c>
      <c r="O211" s="21">
        <f>MAX(O210,N211)</f>
        <v/>
      </c>
      <c r="P211" s="20">
        <f>N211/O211-1</f>
        <v/>
      </c>
    </row>
    <row r="212">
      <c r="A212" s="18" t="inlineStr">
        <is>
          <t>2024-10-22</t>
        </is>
      </c>
      <c r="B212" s="19" t="n">
        <v>-0.002621900445470171</v>
      </c>
      <c r="C212" s="19" t="n">
        <v>0.02084642011527271</v>
      </c>
      <c r="D212" s="19" t="n">
        <v>0.005022326609047667</v>
      </c>
      <c r="E212" s="19" t="n">
        <v>0.003807401850343783</v>
      </c>
      <c r="F212" s="19" t="n">
        <v>0.005163237074616411</v>
      </c>
      <c r="G212" s="19" t="n">
        <v>0.0009435959656549642</v>
      </c>
      <c r="H212" s="19" t="n">
        <v>0.003332044214411578</v>
      </c>
      <c r="I212" s="19" t="n">
        <v>-0.00392713269617273</v>
      </c>
      <c r="J212" s="19" t="n">
        <v>-0.005173230837187459</v>
      </c>
      <c r="K212" s="19" t="n">
        <v>-0.05034329965713624</v>
      </c>
      <c r="L212" s="19" t="n">
        <v>-0.0005312147796041611</v>
      </c>
      <c r="M212" s="20">
        <f>SUMPRODUCT($B$3:$K$3,B212:K212)</f>
        <v/>
      </c>
      <c r="N212" s="21">
        <f>N211*(1+M212)</f>
        <v/>
      </c>
      <c r="O212" s="21">
        <f>MAX(O211,N212)</f>
        <v/>
      </c>
      <c r="P212" s="20">
        <f>N212/O212-1</f>
        <v/>
      </c>
    </row>
    <row r="213">
      <c r="A213" s="18" t="inlineStr">
        <is>
          <t>2024-10-23</t>
        </is>
      </c>
      <c r="B213" s="19" t="n">
        <v>-0.02162294184605484</v>
      </c>
      <c r="C213" s="19" t="n">
        <v>-0.006806931231525759</v>
      </c>
      <c r="D213" s="19" t="n">
        <v>-0.003167804959223086</v>
      </c>
      <c r="E213" s="19" t="n">
        <v>0.01474455509627459</v>
      </c>
      <c r="F213" s="19" t="n">
        <v>-0.003562475616272875</v>
      </c>
      <c r="G213" s="19" t="n">
        <v>-0.0007070298237520367</v>
      </c>
      <c r="H213" s="19" t="n">
        <v>-0.02630464056220549</v>
      </c>
      <c r="I213" s="19" t="n">
        <v>0.01505360665812439</v>
      </c>
      <c r="J213" s="19" t="n">
        <v>-0.007027704593137285</v>
      </c>
      <c r="K213" s="19" t="n">
        <v>0.03277112814813199</v>
      </c>
      <c r="L213" s="19" t="n">
        <v>-0.009137468491534073</v>
      </c>
      <c r="M213" s="20">
        <f>SUMPRODUCT($B$3:$K$3,B213:K213)</f>
        <v/>
      </c>
      <c r="N213" s="21">
        <f>N212*(1+M213)</f>
        <v/>
      </c>
      <c r="O213" s="21">
        <f>MAX(O212,N213)</f>
        <v/>
      </c>
      <c r="P213" s="20">
        <f>N213/O213-1</f>
        <v/>
      </c>
    </row>
    <row r="214">
      <c r="A214" s="18" t="inlineStr">
        <is>
          <t>2024-10-24</t>
        </is>
      </c>
      <c r="B214" s="19" t="n">
        <v>-0.000823263463845092</v>
      </c>
      <c r="C214" s="19" t="n">
        <v>0.0003062001589699825</v>
      </c>
      <c r="D214" s="19" t="n">
        <v>0.007027449835305788</v>
      </c>
      <c r="E214" s="19" t="n">
        <v>-0.01320375979497679</v>
      </c>
      <c r="F214" s="19" t="n">
        <v>-0.005654085079513482</v>
      </c>
      <c r="G214" s="19" t="n">
        <v>0.0002359377690765996</v>
      </c>
      <c r="H214" s="19" t="n">
        <v>0.009041189476714617</v>
      </c>
      <c r="I214" s="19" t="n">
        <v>-0.02530590884298456</v>
      </c>
      <c r="J214" s="19" t="n">
        <v>0.003447980795639127</v>
      </c>
      <c r="K214" s="19" t="n">
        <v>-0.02333182865353933</v>
      </c>
      <c r="L214" s="19" t="n">
        <v>0.002162879520804406</v>
      </c>
      <c r="M214" s="20">
        <f>SUMPRODUCT($B$3:$K$3,B214:K214)</f>
        <v/>
      </c>
      <c r="N214" s="21">
        <f>N213*(1+M214)</f>
        <v/>
      </c>
      <c r="O214" s="21">
        <f>MAX(O213,N214)</f>
        <v/>
      </c>
      <c r="P214" s="20">
        <f>N214/O214-1</f>
        <v/>
      </c>
    </row>
    <row r="215">
      <c r="A215" s="18" t="inlineStr">
        <is>
          <t>2024-10-25</t>
        </is>
      </c>
      <c r="B215" s="19" t="n">
        <v>0.003643107950854985</v>
      </c>
      <c r="C215" s="19" t="n">
        <v>0.008052044223839649</v>
      </c>
      <c r="D215" s="19" t="n">
        <v>-0.0118678195919466</v>
      </c>
      <c r="E215" s="19" t="n">
        <v>-0.01704655832076785</v>
      </c>
      <c r="F215" s="19" t="n">
        <v>-0.0008361550931998973</v>
      </c>
      <c r="G215" s="19" t="n">
        <v>-0.008253703061323225</v>
      </c>
      <c r="H215" s="19" t="n">
        <v>0.007779788122410869</v>
      </c>
      <c r="I215" s="19" t="n">
        <v>-0.01666471371962719</v>
      </c>
      <c r="J215" s="19" t="n">
        <v>-0.002816015414284223</v>
      </c>
      <c r="K215" s="19" t="n">
        <v>-0.01146671323324588</v>
      </c>
      <c r="L215" s="19" t="n">
        <v>-0.0003455078960682423</v>
      </c>
      <c r="M215" s="20">
        <f>SUMPRODUCT($B$3:$K$3,B215:K215)</f>
        <v/>
      </c>
      <c r="N215" s="21">
        <f>N214*(1+M215)</f>
        <v/>
      </c>
      <c r="O215" s="21">
        <f>MAX(O214,N215)</f>
        <v/>
      </c>
      <c r="P215" s="20">
        <f>N215/O215-1</f>
        <v/>
      </c>
    </row>
    <row r="216">
      <c r="A216" s="18" t="inlineStr">
        <is>
          <t>2024-10-28</t>
        </is>
      </c>
      <c r="B216" s="19" t="n">
        <v>0.008599340087600549</v>
      </c>
      <c r="C216" s="19" t="n">
        <v>-0.003643501593135978</v>
      </c>
      <c r="D216" s="19" t="n">
        <v>0.01434936036371992</v>
      </c>
      <c r="E216" s="19" t="n">
        <v>0.004475385878260907</v>
      </c>
      <c r="F216" s="19" t="n">
        <v>-0.004937600092582928</v>
      </c>
      <c r="G216" s="19" t="n">
        <v>0.006420202928894003</v>
      </c>
      <c r="H216" s="19" t="n">
        <v>0.002981406341556969</v>
      </c>
      <c r="I216" s="19" t="n">
        <v>0.01768407272637651</v>
      </c>
      <c r="J216" s="19" t="n">
        <v>0.01202166729652987</v>
      </c>
      <c r="K216" s="19" t="n">
        <v>0.005799758484827056</v>
      </c>
      <c r="L216" s="19" t="n">
        <v>0.003091450291027975</v>
      </c>
      <c r="M216" s="20">
        <f>SUMPRODUCT($B$3:$K$3,B216:K216)</f>
        <v/>
      </c>
      <c r="N216" s="21">
        <f>N215*(1+M216)</f>
        <v/>
      </c>
      <c r="O216" s="21">
        <f>MAX(O215,N216)</f>
        <v/>
      </c>
      <c r="P216" s="20">
        <f>N216/O216-1</f>
        <v/>
      </c>
    </row>
    <row r="217">
      <c r="A217" s="18" t="inlineStr">
        <is>
          <t>2024-10-29</t>
        </is>
      </c>
      <c r="B217" s="19" t="n">
        <v>0.001156948998260354</v>
      </c>
      <c r="C217" s="19" t="n">
        <v>0.01256475037600513</v>
      </c>
      <c r="D217" s="19" t="n">
        <v>-0.01152999855775183</v>
      </c>
      <c r="E217" s="19" t="n">
        <v>-0.009344167034623152</v>
      </c>
      <c r="F217" s="19" t="n">
        <v>-0.01362496283435566</v>
      </c>
      <c r="G217" s="19" t="n">
        <v>-0.01258146055966503</v>
      </c>
      <c r="H217" s="19" t="n">
        <v>0.01295186819529404</v>
      </c>
      <c r="I217" s="19" t="n">
        <v>-0.03994203410335384</v>
      </c>
      <c r="J217" s="19" t="n">
        <v>-0.007936238161990183</v>
      </c>
      <c r="K217" s="19" t="n">
        <v>-0.006967648074096555</v>
      </c>
      <c r="L217" s="19" t="n">
        <v>0.001618420624015515</v>
      </c>
      <c r="M217" s="20">
        <f>SUMPRODUCT($B$3:$K$3,B217:K217)</f>
        <v/>
      </c>
      <c r="N217" s="21">
        <f>N216*(1+M217)</f>
        <v/>
      </c>
      <c r="O217" s="21">
        <f>MAX(O216,N217)</f>
        <v/>
      </c>
      <c r="P217" s="20">
        <f>N217/O217-1</f>
        <v/>
      </c>
    </row>
    <row r="218">
      <c r="A218" s="18" t="inlineStr">
        <is>
          <t>2024-10-30</t>
        </is>
      </c>
      <c r="B218" s="19" t="n">
        <v>-0.01527798098843747</v>
      </c>
      <c r="C218" s="19" t="n">
        <v>0.001342756599637784</v>
      </c>
      <c r="D218" s="19" t="n">
        <v>0.006774402581805061</v>
      </c>
      <c r="E218" s="19" t="n">
        <v>0.00324816802578809</v>
      </c>
      <c r="F218" s="19" t="n">
        <v>-0.00503057393209716</v>
      </c>
      <c r="G218" s="19" t="n">
        <v>-0.006041614370081549</v>
      </c>
      <c r="H218" s="19" t="n">
        <v>0.009956473710912794</v>
      </c>
      <c r="I218" s="19" t="n">
        <v>-0.005907750272993617</v>
      </c>
      <c r="J218" s="19" t="n">
        <v>-0.02134150338480878</v>
      </c>
      <c r="K218" s="19" t="n">
        <v>-0.001209865632076257</v>
      </c>
      <c r="L218" s="19" t="n">
        <v>-0.003025207919314932</v>
      </c>
      <c r="M218" s="20">
        <f>SUMPRODUCT($B$3:$K$3,B218:K218)</f>
        <v/>
      </c>
      <c r="N218" s="21">
        <f>N217*(1+M218)</f>
        <v/>
      </c>
      <c r="O218" s="21">
        <f>MAX(O217,N218)</f>
        <v/>
      </c>
      <c r="P218" s="20">
        <f>N218/O218-1</f>
        <v/>
      </c>
    </row>
    <row r="219">
      <c r="A219" s="18" t="inlineStr">
        <is>
          <t>2024-10-31</t>
        </is>
      </c>
      <c r="B219" s="19" t="n">
        <v>-0.01820955035311567</v>
      </c>
      <c r="C219" s="19" t="n">
        <v>-0.06052750099407056</v>
      </c>
      <c r="D219" s="19" t="n">
        <v>-0.01109580482594452</v>
      </c>
      <c r="E219" s="19" t="n">
        <v>-0.004669643506319265</v>
      </c>
      <c r="F219" s="19" t="n">
        <v>0.0007711929224523129</v>
      </c>
      <c r="G219" s="19" t="n">
        <v>-0.005897958666496672</v>
      </c>
      <c r="H219" s="19" t="n">
        <v>-0.0328438850795354</v>
      </c>
      <c r="I219" s="19" t="n">
        <v>0.002023281707059121</v>
      </c>
      <c r="J219" s="19" t="n">
        <v>-0.008015969478564977</v>
      </c>
      <c r="K219" s="19" t="n">
        <v>0.02059117774959862</v>
      </c>
      <c r="L219" s="19" t="n">
        <v>-0.01960310189018066</v>
      </c>
      <c r="M219" s="20">
        <f>SUMPRODUCT($B$3:$K$3,B219:K219)</f>
        <v/>
      </c>
      <c r="N219" s="21">
        <f>N218*(1+M219)</f>
        <v/>
      </c>
      <c r="O219" s="21">
        <f>MAX(O218,N219)</f>
        <v/>
      </c>
      <c r="P219" s="20">
        <f>N219/O219-1</f>
        <v/>
      </c>
    </row>
    <row r="220">
      <c r="A220" s="18" t="inlineStr">
        <is>
          <t>2024-11-01</t>
        </is>
      </c>
      <c r="B220" s="19" t="n">
        <v>-0.01327969456797851</v>
      </c>
      <c r="C220" s="19" t="n">
        <v>0.009892732858679087</v>
      </c>
      <c r="D220" s="19" t="n">
        <v>0.004596361407341432</v>
      </c>
      <c r="E220" s="19" t="n">
        <v>0.001688889981543262</v>
      </c>
      <c r="F220" s="19" t="n">
        <v>-0.01567046435342201</v>
      </c>
      <c r="G220" s="19" t="n">
        <v>-0.0004843482433822821</v>
      </c>
      <c r="H220" s="19" t="n">
        <v>0.06185621865256041</v>
      </c>
      <c r="I220" s="19" t="n">
        <v>-0.0239750584885795</v>
      </c>
      <c r="J220" s="19" t="n">
        <v>0.009117432017348603</v>
      </c>
      <c r="K220" s="19" t="n">
        <v>-0.01827672922860801</v>
      </c>
      <c r="L220" s="19" t="n">
        <v>0.004220417054029646</v>
      </c>
      <c r="M220" s="20">
        <f>SUMPRODUCT($B$3:$K$3,B220:K220)</f>
        <v/>
      </c>
      <c r="N220" s="21">
        <f>N219*(1+M220)</f>
        <v/>
      </c>
      <c r="O220" s="21">
        <f>MAX(O219,N220)</f>
        <v/>
      </c>
      <c r="P220" s="20">
        <f>N220/O220-1</f>
        <v/>
      </c>
    </row>
    <row r="221">
      <c r="A221" s="18" t="inlineStr">
        <is>
          <t>2024-11-04</t>
        </is>
      </c>
      <c r="B221" s="19" t="n">
        <v>-0.004037359814758168</v>
      </c>
      <c r="C221" s="19" t="n">
        <v>-0.004654218151481038</v>
      </c>
      <c r="D221" s="19" t="n">
        <v>-0.01417427018585204</v>
      </c>
      <c r="E221" s="19" t="n">
        <v>-0.01180259885105295</v>
      </c>
      <c r="F221" s="19" t="n">
        <v>0.03183994508682808</v>
      </c>
      <c r="G221" s="19" t="n">
        <v>-0.0001209275443271318</v>
      </c>
      <c r="H221" s="19" t="n">
        <v>-0.01086239567545566</v>
      </c>
      <c r="I221" s="19" t="n">
        <v>0.01318691229532032</v>
      </c>
      <c r="J221" s="19" t="n">
        <v>-0.008192131770318634</v>
      </c>
      <c r="K221" s="19" t="n">
        <v>-0.007253306960683603</v>
      </c>
      <c r="L221" s="19" t="n">
        <v>-0.002153883063953033</v>
      </c>
      <c r="M221" s="20">
        <f>SUMPRODUCT($B$3:$K$3,B221:K221)</f>
        <v/>
      </c>
      <c r="N221" s="21">
        <f>N220*(1+M221)</f>
        <v/>
      </c>
      <c r="O221" s="21">
        <f>MAX(O220,N221)</f>
        <v/>
      </c>
      <c r="P221" s="20">
        <f>N221/O221-1</f>
        <v/>
      </c>
    </row>
    <row r="222">
      <c r="A222" s="18" t="inlineStr">
        <is>
          <t>2024-11-05</t>
        </is>
      </c>
      <c r="B222" s="19" t="n">
        <v>0.006486058892585911</v>
      </c>
      <c r="C222" s="19" t="n">
        <v>0.007344641944246444</v>
      </c>
      <c r="D222" s="19" t="n">
        <v>0.007780444857141466</v>
      </c>
      <c r="E222" s="19" t="n">
        <v>0.0006950122690838612</v>
      </c>
      <c r="F222" s="19" t="n">
        <v>0.002950757005030225</v>
      </c>
      <c r="G222" s="19" t="n">
        <v>0.004119113780007178</v>
      </c>
      <c r="H222" s="19" t="n">
        <v>0.0190009257528736</v>
      </c>
      <c r="I222" s="19" t="n">
        <v>0.003572781719022533</v>
      </c>
      <c r="J222" s="19" t="n">
        <v>0.01819296015824579</v>
      </c>
      <c r="K222" s="19" t="n">
        <v>0.004870763581335202</v>
      </c>
      <c r="L222" s="19" t="n">
        <v>0.01209170403395787</v>
      </c>
      <c r="M222" s="20">
        <f>SUMPRODUCT($B$3:$K$3,B222:K222)</f>
        <v/>
      </c>
      <c r="N222" s="21">
        <f>N221*(1+M222)</f>
        <v/>
      </c>
      <c r="O222" s="21">
        <f>MAX(O221,N222)</f>
        <v/>
      </c>
      <c r="P222" s="20">
        <f>N222/O222-1</f>
        <v/>
      </c>
    </row>
    <row r="223">
      <c r="A223" s="18" t="inlineStr">
        <is>
          <t>2024-11-06</t>
        </is>
      </c>
      <c r="B223" s="19" t="n">
        <v>-0.003266854117883411</v>
      </c>
      <c r="C223" s="19" t="n">
        <v>0.02119279770500326</v>
      </c>
      <c r="D223" s="19" t="n">
        <v>0.1154454842116703</v>
      </c>
      <c r="E223" s="19" t="n">
        <v>-0.00296802549863362</v>
      </c>
      <c r="F223" s="19" t="n">
        <v>0.01714863731898442</v>
      </c>
      <c r="G223" s="19" t="n">
        <v>-0.02841464036570773</v>
      </c>
      <c r="H223" s="19" t="n">
        <v>0.03804509442551707</v>
      </c>
      <c r="I223" s="19" t="n">
        <v>-0.05251097174844876</v>
      </c>
      <c r="J223" s="19" t="n">
        <v>0.08740907988563773</v>
      </c>
      <c r="K223" s="19" t="n">
        <v>-0.00242373279967556</v>
      </c>
      <c r="L223" s="19" t="n">
        <v>0.02486573307558926</v>
      </c>
      <c r="M223" s="20">
        <f>SUMPRODUCT($B$3:$K$3,B223:K223)</f>
        <v/>
      </c>
      <c r="N223" s="21">
        <f>N222*(1+M223)</f>
        <v/>
      </c>
      <c r="O223" s="21">
        <f>MAX(O222,N223)</f>
        <v/>
      </c>
      <c r="P223" s="20">
        <f>N223/O223-1</f>
        <v/>
      </c>
    </row>
    <row r="224">
      <c r="A224" s="18" t="inlineStr">
        <is>
          <t>2024-11-07</t>
        </is>
      </c>
      <c r="B224" s="19" t="n">
        <v>0.02137209361930803</v>
      </c>
      <c r="C224" s="19" t="n">
        <v>0.01249459582687162</v>
      </c>
      <c r="D224" s="19" t="n">
        <v>-0.0432283405588666</v>
      </c>
      <c r="E224" s="19" t="n">
        <v>-0.007284173249039738</v>
      </c>
      <c r="F224" s="19" t="n">
        <v>0.001239718007682189</v>
      </c>
      <c r="G224" s="19" t="n">
        <v>0.01465393883011457</v>
      </c>
      <c r="H224" s="19" t="n">
        <v>0.01429333510169939</v>
      </c>
      <c r="I224" s="19" t="n">
        <v>0.001341869634041926</v>
      </c>
      <c r="J224" s="19" t="n">
        <v>-0.02079747763277162</v>
      </c>
      <c r="K224" s="19" t="n">
        <v>-0.01433417414143157</v>
      </c>
      <c r="L224" s="19" t="n">
        <v>0.00773203309946191</v>
      </c>
      <c r="M224" s="20">
        <f>SUMPRODUCT($B$3:$K$3,B224:K224)</f>
        <v/>
      </c>
      <c r="N224" s="21">
        <f>N223*(1+M224)</f>
        <v/>
      </c>
      <c r="O224" s="21">
        <f>MAX(O223,N224)</f>
        <v/>
      </c>
      <c r="P224" s="20">
        <f>N224/O224-1</f>
        <v/>
      </c>
    </row>
    <row r="225">
      <c r="A225" s="18" t="inlineStr">
        <is>
          <t>2024-11-08</t>
        </is>
      </c>
      <c r="B225" s="19" t="n">
        <v>-0.001188207559102428</v>
      </c>
      <c r="C225" s="19" t="n">
        <v>-0.006793067989847468</v>
      </c>
      <c r="D225" s="19" t="n">
        <v>0.002538330848240955</v>
      </c>
      <c r="E225" s="19" t="n">
        <v>-0.008039227434210483</v>
      </c>
      <c r="F225" s="19" t="n">
        <v>-0.000330141850209742</v>
      </c>
      <c r="G225" s="19" t="n">
        <v>0.02631406197245134</v>
      </c>
      <c r="H225" s="19" t="n">
        <v>-0.008902691496347037</v>
      </c>
      <c r="I225" s="19" t="n">
        <v>0.03149287167894155</v>
      </c>
      <c r="J225" s="19" t="n">
        <v>-0.0363538827159825</v>
      </c>
      <c r="K225" s="19" t="n">
        <v>-0.002218490843579612</v>
      </c>
      <c r="L225" s="19" t="n">
        <v>0.004331774643717257</v>
      </c>
      <c r="M225" s="20">
        <f>SUMPRODUCT($B$3:$K$3,B225:K225)</f>
        <v/>
      </c>
      <c r="N225" s="21">
        <f>N224*(1+M225)</f>
        <v/>
      </c>
      <c r="O225" s="21">
        <f>MAX(O224,N225)</f>
        <v/>
      </c>
      <c r="P225" s="20">
        <f>N225/O225-1</f>
        <v/>
      </c>
    </row>
    <row r="226">
      <c r="A226" s="18" t="inlineStr">
        <is>
          <t>2024-11-11</t>
        </is>
      </c>
      <c r="B226" s="19" t="n">
        <v>-0.01202853384061231</v>
      </c>
      <c r="C226" s="19" t="n">
        <v>-0.01072083354425801</v>
      </c>
      <c r="D226" s="19" t="n">
        <v>0.009747443772531783</v>
      </c>
      <c r="E226" s="19" t="n">
        <v>-0.002765969724763284</v>
      </c>
      <c r="F226" s="19" t="n">
        <v>-0.005284484233358255</v>
      </c>
      <c r="G226" s="19" t="n">
        <v>-0.01001730027499814</v>
      </c>
      <c r="H226" s="19" t="n">
        <v>-0.006436720074140423</v>
      </c>
      <c r="I226" s="19" t="n">
        <v>-0.0137717396710112</v>
      </c>
      <c r="J226" s="19" t="n">
        <v>0.008058750038824058</v>
      </c>
      <c r="K226" s="19" t="n">
        <v>-0.0009881529547793866</v>
      </c>
      <c r="L226" s="19" t="n">
        <v>0.0009529553830236459</v>
      </c>
      <c r="M226" s="20">
        <f>SUMPRODUCT($B$3:$K$3,B226:K226)</f>
        <v/>
      </c>
      <c r="N226" s="21">
        <f>N225*(1+M226)</f>
        <v/>
      </c>
      <c r="O226" s="21">
        <f>MAX(O225,N226)</f>
        <v/>
      </c>
      <c r="P226" s="20">
        <f>N226/O226-1</f>
        <v/>
      </c>
    </row>
    <row r="227">
      <c r="A227" s="18" t="inlineStr">
        <is>
          <t>2024-11-12</t>
        </is>
      </c>
      <c r="B227" s="19" t="n">
        <v>0</v>
      </c>
      <c r="C227" s="19" t="n">
        <v>0.01200926407966585</v>
      </c>
      <c r="D227" s="19" t="n">
        <v>0.001128450667019054</v>
      </c>
      <c r="E227" s="19" t="n">
        <v>-0.0154798452836199</v>
      </c>
      <c r="F227" s="19" t="n">
        <v>-0.0009961511146316937</v>
      </c>
      <c r="G227" s="19" t="n">
        <v>-0.001144257108960045</v>
      </c>
      <c r="H227" s="19" t="n">
        <v>0.01000777103494599</v>
      </c>
      <c r="I227" s="19" t="n">
        <v>-0.021736175426323</v>
      </c>
      <c r="J227" s="19" t="n">
        <v>-0.008902146654495291</v>
      </c>
      <c r="K227" s="19" t="n">
        <v>-0.0009891303668740914</v>
      </c>
      <c r="L227" s="19" t="n">
        <v>-0.003106540640482547</v>
      </c>
      <c r="M227" s="20">
        <f>SUMPRODUCT($B$3:$K$3,B227:K227)</f>
        <v/>
      </c>
      <c r="N227" s="21">
        <f>N226*(1+M227)</f>
        <v/>
      </c>
      <c r="O227" s="21">
        <f>MAX(O226,N227)</f>
        <v/>
      </c>
      <c r="P227" s="20">
        <f>N227/O227-1</f>
        <v/>
      </c>
    </row>
    <row r="228">
      <c r="A228" s="18" t="inlineStr">
        <is>
          <t>2024-11-13</t>
        </is>
      </c>
      <c r="B228" s="19" t="n">
        <v>0.003969220378027272</v>
      </c>
      <c r="C228" s="19" t="n">
        <v>0.005129677493722395</v>
      </c>
      <c r="D228" s="19" t="n">
        <v>0.006678898274018685</v>
      </c>
      <c r="E228" s="19" t="n">
        <v>0.003930941549773692</v>
      </c>
      <c r="F228" s="19" t="n">
        <v>0.009306298258312529</v>
      </c>
      <c r="G228" s="19" t="n">
        <v>0.004462076883962496</v>
      </c>
      <c r="H228" s="19" t="n">
        <v>0.02484324517939585</v>
      </c>
      <c r="I228" s="19" t="n">
        <v>-0.0002692917985335219</v>
      </c>
      <c r="J228" s="19" t="n">
        <v>-0.01511414317792115</v>
      </c>
      <c r="K228" s="19" t="n">
        <v>0.01831687072332167</v>
      </c>
      <c r="L228" s="19" t="n">
        <v>0.000485928829681459</v>
      </c>
      <c r="M228" s="20">
        <f>SUMPRODUCT($B$3:$K$3,B228:K228)</f>
        <v/>
      </c>
      <c r="N228" s="21">
        <f>N227*(1+M228)</f>
        <v/>
      </c>
      <c r="O228" s="21">
        <f>MAX(O227,N228)</f>
        <v/>
      </c>
      <c r="P228" s="20">
        <f>N228/O228-1</f>
        <v/>
      </c>
    </row>
    <row r="229">
      <c r="A229" s="18" t="inlineStr">
        <is>
          <t>2024-11-14</t>
        </is>
      </c>
      <c r="B229" s="19" t="n">
        <v>0.0137703724493965</v>
      </c>
      <c r="C229" s="19" t="n">
        <v>0.003974693426306963</v>
      </c>
      <c r="D229" s="19" t="n">
        <v>0.002944103513337515</v>
      </c>
      <c r="E229" s="19" t="n">
        <v>-0.008940217968265718</v>
      </c>
      <c r="F229" s="19" t="n">
        <v>0.0006639684702365312</v>
      </c>
      <c r="G229" s="19" t="n">
        <v>0.003001614701472421</v>
      </c>
      <c r="H229" s="19" t="n">
        <v>-0.01223732041702885</v>
      </c>
      <c r="I229" s="19" t="n">
        <v>0.01400858063308585</v>
      </c>
      <c r="J229" s="19" t="n">
        <v>0.0007492592760793837</v>
      </c>
      <c r="K229" s="19" t="n">
        <v>-0.006563052487661536</v>
      </c>
      <c r="L229" s="19" t="n">
        <v>-0.006430280129214205</v>
      </c>
      <c r="M229" s="20">
        <f>SUMPRODUCT($B$3:$K$3,B229:K229)</f>
        <v/>
      </c>
      <c r="N229" s="21">
        <f>N228*(1+M229)</f>
        <v/>
      </c>
      <c r="O229" s="21">
        <f>MAX(O228,N229)</f>
        <v/>
      </c>
      <c r="P229" s="20">
        <f>N229/O229-1</f>
        <v/>
      </c>
    </row>
    <row r="230">
      <c r="A230" s="18" t="inlineStr">
        <is>
          <t>2024-11-15</t>
        </is>
      </c>
      <c r="B230" s="19" t="n">
        <v>-0.0141092236795427</v>
      </c>
      <c r="C230" s="19" t="n">
        <v>-0.02785278352827247</v>
      </c>
      <c r="D230" s="19" t="n">
        <v>0.01422249512765572</v>
      </c>
      <c r="E230" s="19" t="n">
        <v>0.01402510561782688</v>
      </c>
      <c r="F230" s="19" t="n">
        <v>-0.01036830115373533</v>
      </c>
      <c r="G230" s="19" t="n">
        <v>0.01472340433687291</v>
      </c>
      <c r="H230" s="19" t="n">
        <v>-0.04194247823144048</v>
      </c>
      <c r="I230" s="19" t="n">
        <v>0.01421367720939548</v>
      </c>
      <c r="J230" s="19" t="n">
        <v>-0.008493320492681256</v>
      </c>
      <c r="K230" s="19" t="n">
        <v>0.01908505842847008</v>
      </c>
      <c r="L230" s="19" t="n">
        <v>-0.01280856007386111</v>
      </c>
      <c r="M230" s="20">
        <f>SUMPRODUCT($B$3:$K$3,B230:K230)</f>
        <v/>
      </c>
      <c r="N230" s="21">
        <f>N229*(1+M230)</f>
        <v/>
      </c>
      <c r="O230" s="21">
        <f>MAX(O229,N230)</f>
        <v/>
      </c>
      <c r="P230" s="20">
        <f>N230/O230-1</f>
        <v/>
      </c>
    </row>
    <row r="231">
      <c r="A231" s="18" t="inlineStr">
        <is>
          <t>2024-11-18</t>
        </is>
      </c>
      <c r="B231" s="19" t="n">
        <v>0.01342216962733778</v>
      </c>
      <c r="C231" s="19" t="n">
        <v>0.001831370631185214</v>
      </c>
      <c r="D231" s="19" t="n">
        <v>-0.001141407491106472</v>
      </c>
      <c r="E231" s="19" t="n">
        <v>0.004999871352987961</v>
      </c>
      <c r="F231" s="19" t="n">
        <v>0.008381435091518119</v>
      </c>
      <c r="G231" s="19" t="n">
        <v>0.007137124929575078</v>
      </c>
      <c r="H231" s="19" t="n">
        <v>-0.004491405455644193</v>
      </c>
      <c r="I231" s="19" t="n">
        <v>0.0005238404095071481</v>
      </c>
      <c r="J231" s="19" t="n">
        <v>0.00101536354104792</v>
      </c>
      <c r="K231" s="19" t="n">
        <v>0.01440571108258792</v>
      </c>
      <c r="L231" s="19" t="n">
        <v>0.004097457137459903</v>
      </c>
      <c r="M231" s="20">
        <f>SUMPRODUCT($B$3:$K$3,B231:K231)</f>
        <v/>
      </c>
      <c r="N231" s="21">
        <f>N230*(1+M231)</f>
        <v/>
      </c>
      <c r="O231" s="21">
        <f>MAX(O230,N231)</f>
        <v/>
      </c>
      <c r="P231" s="20">
        <f>N231/O231-1</f>
        <v/>
      </c>
    </row>
    <row r="232">
      <c r="A232" s="18" t="inlineStr">
        <is>
          <t>2024-11-19</t>
        </is>
      </c>
      <c r="B232" s="19" t="n">
        <v>0.00114027813970119</v>
      </c>
      <c r="C232" s="19" t="n">
        <v>0.004882805072981444</v>
      </c>
      <c r="D232" s="19" t="n">
        <v>-0.007917461613900389</v>
      </c>
      <c r="E232" s="19" t="n">
        <v>-0.01143622806058997</v>
      </c>
      <c r="F232" s="19" t="n">
        <v>-0.01396377984913355</v>
      </c>
      <c r="G232" s="19" t="n">
        <v>5.832240569603186e-05</v>
      </c>
      <c r="H232" s="19" t="n">
        <v>0.01442738575180114</v>
      </c>
      <c r="I232" s="19" t="n">
        <v>0.0090326283836204</v>
      </c>
      <c r="J232" s="19" t="n">
        <v>-0.005540327219876295</v>
      </c>
      <c r="K232" s="19" t="n">
        <v>-0.007573944705855484</v>
      </c>
      <c r="L232" s="19" t="n">
        <v>0.003655420894695949</v>
      </c>
      <c r="M232" s="20">
        <f>SUMPRODUCT($B$3:$K$3,B232:K232)</f>
        <v/>
      </c>
      <c r="N232" s="21">
        <f>N231*(1+M232)</f>
        <v/>
      </c>
      <c r="O232" s="21">
        <f>MAX(O231,N232)</f>
        <v/>
      </c>
      <c r="P232" s="20">
        <f>N232/O232-1</f>
        <v/>
      </c>
    </row>
    <row r="233">
      <c r="A233" s="18" t="inlineStr">
        <is>
          <t>2024-11-20</t>
        </is>
      </c>
      <c r="B233" s="19" t="n">
        <v>0.00315402425581035</v>
      </c>
      <c r="C233" s="19" t="n">
        <v>-0.005505353653510014</v>
      </c>
      <c r="D233" s="19" t="n">
        <v>-0.009502576310941202</v>
      </c>
      <c r="E233" s="19" t="n">
        <v>0.0007189207324884705</v>
      </c>
      <c r="F233" s="19" t="n">
        <v>0.01424586117763105</v>
      </c>
      <c r="G233" s="19" t="n">
        <v>0.0007613349126345259</v>
      </c>
      <c r="H233" s="19" t="n">
        <v>-0.008455088814713463</v>
      </c>
      <c r="I233" s="19" t="n">
        <v>-0.002594711483895007</v>
      </c>
      <c r="J233" s="19" t="n">
        <v>-0.002170891290682486</v>
      </c>
      <c r="K233" s="19" t="n">
        <v>0.006916439992736612</v>
      </c>
      <c r="L233" s="19" t="n">
        <v>0.000338928617444223</v>
      </c>
      <c r="M233" s="20">
        <f>SUMPRODUCT($B$3:$K$3,B233:K233)</f>
        <v/>
      </c>
      <c r="N233" s="21">
        <f>N232*(1+M233)</f>
        <v/>
      </c>
      <c r="O233" s="21">
        <f>MAX(O232,N233)</f>
        <v/>
      </c>
      <c r="P233" s="20">
        <f>N233/O233-1</f>
        <v/>
      </c>
    </row>
    <row r="234">
      <c r="A234" s="18" t="inlineStr">
        <is>
          <t>2024-11-21</t>
        </is>
      </c>
      <c r="B234" s="19" t="n">
        <v>-0.002096094147923555</v>
      </c>
      <c r="C234" s="19" t="n">
        <v>-0.004316704677921002</v>
      </c>
      <c r="D234" s="19" t="n">
        <v>0.01652961774742123</v>
      </c>
      <c r="E234" s="19" t="n">
        <v>0.01560953902831863</v>
      </c>
      <c r="F234" s="19" t="n">
        <v>0.01338104975456145</v>
      </c>
      <c r="G234" s="19" t="n">
        <v>0.01088442818292656</v>
      </c>
      <c r="H234" s="19" t="n">
        <v>-0.02218059883525381</v>
      </c>
      <c r="I234" s="19" t="n">
        <v>0.006243591875919829</v>
      </c>
      <c r="J234" s="19" t="n">
        <v>0.02120582626735246</v>
      </c>
      <c r="K234" s="19" t="n">
        <v>0.006631896861863051</v>
      </c>
      <c r="L234" s="19" t="n">
        <v>0.005368146978349975</v>
      </c>
      <c r="M234" s="20">
        <f>SUMPRODUCT($B$3:$K$3,B234:K234)</f>
        <v/>
      </c>
      <c r="N234" s="21">
        <f>N233*(1+M234)</f>
        <v/>
      </c>
      <c r="O234" s="21">
        <f>MAX(O233,N234)</f>
        <v/>
      </c>
      <c r="P234" s="20">
        <f>N234/O234-1</f>
        <v/>
      </c>
    </row>
    <row r="235">
      <c r="A235" s="18" t="inlineStr">
        <is>
          <t>2024-11-22</t>
        </is>
      </c>
      <c r="B235" s="19" t="n">
        <v>0.005907635166318759</v>
      </c>
      <c r="C235" s="19" t="n">
        <v>0.01000315394511775</v>
      </c>
      <c r="D235" s="19" t="n">
        <v>0.01548449629545501</v>
      </c>
      <c r="E235" s="19" t="n">
        <v>-0.002122087955558238</v>
      </c>
      <c r="F235" s="19" t="n">
        <v>-0.00114824275120895</v>
      </c>
      <c r="G235" s="19" t="n">
        <v>0.02043407215332516</v>
      </c>
      <c r="H235" s="19" t="n">
        <v>-0.006351495788949668</v>
      </c>
      <c r="I235" s="19" t="n">
        <v>-0.01099626612568805</v>
      </c>
      <c r="J235" s="19" t="n">
        <v>0.02027770877659085</v>
      </c>
      <c r="K235" s="19" t="n">
        <v>0.01529405351714663</v>
      </c>
      <c r="L235" s="19" t="n">
        <v>0.003099412387509881</v>
      </c>
      <c r="M235" s="20">
        <f>SUMPRODUCT($B$3:$K$3,B235:K235)</f>
        <v/>
      </c>
      <c r="N235" s="21">
        <f>N234*(1+M235)</f>
        <v/>
      </c>
      <c r="O235" s="21">
        <f>MAX(O234,N235)</f>
        <v/>
      </c>
      <c r="P235" s="20">
        <f>N235/O235-1</f>
        <v/>
      </c>
    </row>
    <row r="236">
      <c r="A236" s="18" t="inlineStr">
        <is>
          <t>2024-11-25</t>
        </is>
      </c>
      <c r="B236" s="19" t="n">
        <v>0.01305082172150018</v>
      </c>
      <c r="C236" s="19" t="n">
        <v>0.004292481054346098</v>
      </c>
      <c r="D236" s="19" t="n">
        <v>0.00700071585875417</v>
      </c>
      <c r="E236" s="19" t="n">
        <v>0.003931413984515242</v>
      </c>
      <c r="F236" s="19" t="n">
        <v>-0.01494365300999223</v>
      </c>
      <c r="G236" s="19" t="n">
        <v>0.006296676951626612</v>
      </c>
      <c r="H236" s="19" t="n">
        <v>0.02196632476822313</v>
      </c>
      <c r="I236" s="19" t="n">
        <v>0.008420899867450871</v>
      </c>
      <c r="J236" s="19" t="n">
        <v>0.02052880316330308</v>
      </c>
      <c r="K236" s="19" t="n">
        <v>0.01923515872978054</v>
      </c>
      <c r="L236" s="19" t="n">
        <v>0.003392035003947358</v>
      </c>
      <c r="M236" s="20">
        <f>SUMPRODUCT($B$3:$K$3,B236:K236)</f>
        <v/>
      </c>
      <c r="N236" s="21">
        <f>N235*(1+M236)</f>
        <v/>
      </c>
      <c r="O236" s="21">
        <f>MAX(O235,N236)</f>
        <v/>
      </c>
      <c r="P236" s="20">
        <f>N236/O236-1</f>
        <v/>
      </c>
    </row>
    <row r="237">
      <c r="A237" s="18" t="inlineStr">
        <is>
          <t>2024-11-26</t>
        </is>
      </c>
      <c r="B237" s="19" t="n">
        <v>0.009404468784233844</v>
      </c>
      <c r="C237" s="19" t="n">
        <v>0.02196816587279082</v>
      </c>
      <c r="D237" s="19" t="n">
        <v>-0.001278628014650618</v>
      </c>
      <c r="E237" s="19" t="n">
        <v>-0.0001293483428419506</v>
      </c>
      <c r="F237" s="19" t="n">
        <v>-0.01667085190406337</v>
      </c>
      <c r="G237" s="19" t="n">
        <v>0.01082360522691284</v>
      </c>
      <c r="H237" s="19" t="n">
        <v>0.03181932866326287</v>
      </c>
      <c r="I237" s="19" t="n">
        <v>0.01109092608367424</v>
      </c>
      <c r="J237" s="19" t="n">
        <v>0.005374158446126431</v>
      </c>
      <c r="K237" s="19" t="n">
        <v>0.008867592136135416</v>
      </c>
      <c r="L237" s="19" t="n">
        <v>0.005221493093082286</v>
      </c>
      <c r="M237" s="20">
        <f>SUMPRODUCT($B$3:$K$3,B237:K237)</f>
        <v/>
      </c>
      <c r="N237" s="21">
        <f>N236*(1+M237)</f>
        <v/>
      </c>
      <c r="O237" s="21">
        <f>MAX(O236,N237)</f>
        <v/>
      </c>
      <c r="P237" s="20">
        <f>N237/O237-1</f>
        <v/>
      </c>
    </row>
    <row r="238">
      <c r="A238" s="18" t="inlineStr">
        <is>
          <t>2024-11-27</t>
        </is>
      </c>
      <c r="B238" s="19" t="n">
        <v>-0.0005531615372268428</v>
      </c>
      <c r="C238" s="19" t="n">
        <v>-0.01168252081930532</v>
      </c>
      <c r="D238" s="19" t="n">
        <v>-0.0007200739874441142</v>
      </c>
      <c r="E238" s="19" t="n">
        <v>0.00569485539600767</v>
      </c>
      <c r="F238" s="19" t="n">
        <v>-0.00262778235426675</v>
      </c>
      <c r="G238" s="19" t="n">
        <v>0.0002789409992463021</v>
      </c>
      <c r="H238" s="19" t="n">
        <v>-0.01019914899914576</v>
      </c>
      <c r="I238" s="19" t="n">
        <v>0.01329207266492127</v>
      </c>
      <c r="J238" s="19" t="n">
        <v>-0.01012678175309967</v>
      </c>
      <c r="K238" s="19" t="n">
        <v>0.0002255488451745613</v>
      </c>
      <c r="L238" s="19" t="n">
        <v>-0.003030127558109275</v>
      </c>
      <c r="M238" s="20">
        <f>SUMPRODUCT($B$3:$K$3,B238:K238)</f>
        <v/>
      </c>
      <c r="N238" s="21">
        <f>N237*(1+M238)</f>
        <v/>
      </c>
      <c r="O238" s="21">
        <f>MAX(O237,N238)</f>
        <v/>
      </c>
      <c r="P238" s="20">
        <f>N238/O238-1</f>
        <v/>
      </c>
    </row>
    <row r="239">
      <c r="A239" s="18" t="inlineStr">
        <is>
          <t>2024-11-29</t>
        </is>
      </c>
      <c r="B239" s="19" t="n">
        <v>0.01021592763573453</v>
      </c>
      <c r="C239" s="19" t="n">
        <v>0.001111078604185023</v>
      </c>
      <c r="D239" s="19" t="n">
        <v>-0.0002802024416773685</v>
      </c>
      <c r="E239" s="19" t="n">
        <v>-0.002509619677507624</v>
      </c>
      <c r="F239" s="19" t="n">
        <v>0.002549609103822847</v>
      </c>
      <c r="G239" s="19" t="n">
        <v>-0.0005576371609332664</v>
      </c>
      <c r="H239" s="19" t="n">
        <v>0.01045005268338928</v>
      </c>
      <c r="I239" s="19" t="n">
        <v>0.001910450646230855</v>
      </c>
      <c r="J239" s="19" t="n">
        <v>0.005969659749776479</v>
      </c>
      <c r="K239" s="19" t="n">
        <v>-0.0009014129952646943</v>
      </c>
      <c r="L239" s="19" t="n">
        <v>0.006212147755142894</v>
      </c>
      <c r="M239" s="20">
        <f>SUMPRODUCT($B$3:$K$3,B239:K239)</f>
        <v/>
      </c>
      <c r="N239" s="21">
        <f>N238*(1+M239)</f>
        <v/>
      </c>
      <c r="O239" s="21">
        <f>MAX(O238,N239)</f>
        <v/>
      </c>
      <c r="P239" s="20">
        <f>N239/O239-1</f>
        <v/>
      </c>
    </row>
    <row r="240">
      <c r="A240" s="18" t="inlineStr">
        <is>
          <t>2024-12-02</t>
        </is>
      </c>
      <c r="B240" s="19" t="n">
        <v>0.009522523572686792</v>
      </c>
      <c r="C240" s="19" t="n">
        <v>0.01775847743023173</v>
      </c>
      <c r="D240" s="19" t="n">
        <v>-0.01389551955448676</v>
      </c>
      <c r="E240" s="19" t="n">
        <v>-0.00135470975018892</v>
      </c>
      <c r="F240" s="19" t="n">
        <v>-0.0009324518552391581</v>
      </c>
      <c r="G240" s="19" t="n">
        <v>0.002454543781926555</v>
      </c>
      <c r="H240" s="19" t="n">
        <v>0.01356490130596999</v>
      </c>
      <c r="I240" s="19" t="n">
        <v>-0.02033826116093118</v>
      </c>
      <c r="J240" s="19" t="n">
        <v>-0.008864513006665686</v>
      </c>
      <c r="K240" s="19" t="n">
        <v>-0.01105106463569494</v>
      </c>
      <c r="L240" s="19" t="n">
        <v>0.001792425592471503</v>
      </c>
      <c r="M240" s="20">
        <f>SUMPRODUCT($B$3:$K$3,B240:K240)</f>
        <v/>
      </c>
      <c r="N240" s="21">
        <f>N239*(1+M240)</f>
        <v/>
      </c>
      <c r="O240" s="21">
        <f>MAX(O239,N240)</f>
        <v/>
      </c>
      <c r="P240" s="20">
        <f>N240/O240-1</f>
        <v/>
      </c>
    </row>
    <row r="241">
      <c r="A241" s="18" t="inlineStr">
        <is>
          <t>2024-12-03</t>
        </is>
      </c>
      <c r="B241" s="19" t="n">
        <v>0.01277179803270867</v>
      </c>
      <c r="C241" s="19" t="n">
        <v>0.0005105322399099332</v>
      </c>
      <c r="D241" s="19" t="n">
        <v>-0.005807119983843312</v>
      </c>
      <c r="E241" s="19" t="n">
        <v>-0.01576225179036506</v>
      </c>
      <c r="F241" s="19" t="n">
        <v>-0.001527353978695634</v>
      </c>
      <c r="G241" s="19" t="n">
        <v>-0.02381747455866345</v>
      </c>
      <c r="H241" s="19" t="n">
        <v>0.0129561750299132</v>
      </c>
      <c r="I241" s="19" t="n">
        <v>-0.01012072754248772</v>
      </c>
      <c r="J241" s="19" t="n">
        <v>-0.008074217790551175</v>
      </c>
      <c r="K241" s="19" t="n">
        <v>-0.0004558611557076153</v>
      </c>
      <c r="L241" s="19" t="n">
        <v>0.000463856150800801</v>
      </c>
      <c r="M241" s="20">
        <f>SUMPRODUCT($B$3:$K$3,B241:K241)</f>
        <v/>
      </c>
      <c r="N241" s="21">
        <f>N240*(1+M241)</f>
        <v/>
      </c>
      <c r="O241" s="21">
        <f>MAX(O240,N241)</f>
        <v/>
      </c>
      <c r="P241" s="20">
        <f>N241/O241-1</f>
        <v/>
      </c>
    </row>
    <row r="242">
      <c r="A242" s="18" t="inlineStr">
        <is>
          <t>2024-12-04</t>
        </is>
      </c>
      <c r="B242" s="19" t="n">
        <v>0.001483746436633515</v>
      </c>
      <c r="C242" s="19" t="n">
        <v>0.01442479059630619</v>
      </c>
      <c r="D242" s="19" t="n">
        <v>-0.005800244178680303</v>
      </c>
      <c r="E242" s="19" t="n">
        <v>-0.01240497373553595</v>
      </c>
      <c r="F242" s="19" t="n">
        <v>-0.02880946551275032</v>
      </c>
      <c r="G242" s="19" t="n">
        <v>-0.001767164366548002</v>
      </c>
      <c r="H242" s="19" t="n">
        <v>0.02211394849472437</v>
      </c>
      <c r="I242" s="19" t="n">
        <v>-0.007209324576825216</v>
      </c>
      <c r="J242" s="19" t="n">
        <v>0.0006261493423558306</v>
      </c>
      <c r="K242" s="19" t="n">
        <v>-0.02988825331021328</v>
      </c>
      <c r="L242" s="19" t="n">
        <v>0.006209419772410518</v>
      </c>
      <c r="M242" s="20">
        <f>SUMPRODUCT($B$3:$K$3,B242:K242)</f>
        <v/>
      </c>
      <c r="N242" s="21">
        <f>N241*(1+M242)</f>
        <v/>
      </c>
      <c r="O242" s="21">
        <f>MAX(O241,N242)</f>
        <v/>
      </c>
      <c r="P242" s="20">
        <f>N242/O242-1</f>
        <v/>
      </c>
    </row>
    <row r="243">
      <c r="A243" s="18" t="inlineStr">
        <is>
          <t>2024-12-05</t>
        </is>
      </c>
      <c r="B243" s="19" t="n">
        <v>0.0001233305861181311</v>
      </c>
      <c r="C243" s="19" t="n">
        <v>0.01188785123405789</v>
      </c>
      <c r="D243" s="19" t="n">
        <v>0.008545600700476941</v>
      </c>
      <c r="E243" s="19" t="n">
        <v>-0.006313474025905097</v>
      </c>
      <c r="F243" s="19" t="n">
        <v>0.004375312180649349</v>
      </c>
      <c r="G243" s="19" t="n">
        <v>0.005253825165440373</v>
      </c>
      <c r="H243" s="19" t="n">
        <v>0.01095525921126295</v>
      </c>
      <c r="I243" s="19" t="n">
        <v>0.006073438711986512</v>
      </c>
      <c r="J243" s="19" t="n">
        <v>-0.01133891982439783</v>
      </c>
      <c r="K243" s="19" t="n">
        <v>0.0007053816165909499</v>
      </c>
      <c r="L243" s="19" t="n">
        <v>-0.00164551042216543</v>
      </c>
      <c r="M243" s="20">
        <f>SUMPRODUCT($B$3:$K$3,B243:K243)</f>
        <v/>
      </c>
      <c r="N243" s="21">
        <f>N242*(1+M243)</f>
        <v/>
      </c>
      <c r="O243" s="21">
        <f>MAX(O242,N243)</f>
        <v/>
      </c>
      <c r="P243" s="20">
        <f>N243/O243-1</f>
        <v/>
      </c>
    </row>
    <row r="244">
      <c r="A244" s="18" t="inlineStr">
        <is>
          <t>2024-12-06</t>
        </is>
      </c>
      <c r="B244" s="19" t="n">
        <v>-0.0008229878582414196</v>
      </c>
      <c r="C244" s="19" t="n">
        <v>0.002146392075544012</v>
      </c>
      <c r="D244" s="19" t="n">
        <v>0.007658511685917357</v>
      </c>
      <c r="E244" s="19" t="n">
        <v>-0.001404558172251269</v>
      </c>
      <c r="F244" s="19" t="n">
        <v>-0.01054198415922369</v>
      </c>
      <c r="G244" s="19" t="n">
        <v>-0.01255457661354131</v>
      </c>
      <c r="H244" s="19" t="n">
        <v>0.02938107294434444</v>
      </c>
      <c r="I244" s="19" t="n">
        <v>-0.01259840841664872</v>
      </c>
      <c r="J244" s="19" t="n">
        <v>0.000126492171649728</v>
      </c>
      <c r="K244" s="19" t="n">
        <v>-0.004230312827175231</v>
      </c>
      <c r="L244" s="19" t="n">
        <v>0.001895564054851917</v>
      </c>
      <c r="M244" s="20">
        <f>SUMPRODUCT($B$3:$K$3,B244:K244)</f>
        <v/>
      </c>
      <c r="N244" s="21">
        <f>N243*(1+M244)</f>
        <v/>
      </c>
      <c r="O244" s="21">
        <f>MAX(O243,N244)</f>
        <v/>
      </c>
      <c r="P244" s="20">
        <f>N244/O244-1</f>
        <v/>
      </c>
    </row>
    <row r="245">
      <c r="A245" s="18" t="inlineStr">
        <is>
          <t>2024-12-09</t>
        </is>
      </c>
      <c r="B245" s="19" t="n">
        <v>0.01610129151722406</v>
      </c>
      <c r="C245" s="19" t="n">
        <v>0.005523205673064302</v>
      </c>
      <c r="D245" s="19" t="n">
        <v>-0.01435155247075548</v>
      </c>
      <c r="E245" s="19" t="n">
        <v>0.001942371392540165</v>
      </c>
      <c r="F245" s="19" t="n">
        <v>-0.005899346668774896</v>
      </c>
      <c r="G245" s="19" t="n">
        <v>-0.017431972045031</v>
      </c>
      <c r="H245" s="19" t="n">
        <v>-0.004140432746599365</v>
      </c>
      <c r="I245" s="19" t="n">
        <v>-0.007177017133723429</v>
      </c>
      <c r="J245" s="19" t="n">
        <v>0.0107081845154029</v>
      </c>
      <c r="K245" s="19" t="n">
        <v>-0.0002357912048162047</v>
      </c>
      <c r="L245" s="19" t="n">
        <v>-0.005149618902517306</v>
      </c>
      <c r="M245" s="20">
        <f>SUMPRODUCT($B$3:$K$3,B245:K245)</f>
        <v/>
      </c>
      <c r="N245" s="21">
        <f>N244*(1+M245)</f>
        <v/>
      </c>
      <c r="O245" s="21">
        <f>MAX(O244,N245)</f>
        <v/>
      </c>
      <c r="P245" s="20">
        <f>N245/O245-1</f>
        <v/>
      </c>
    </row>
    <row r="246">
      <c r="A246" s="18" t="inlineStr">
        <is>
          <t>2024-12-10</t>
        </is>
      </c>
      <c r="B246" s="19" t="n">
        <v>0.004133669430149034</v>
      </c>
      <c r="C246" s="19" t="n">
        <v>-0.00603099350919245</v>
      </c>
      <c r="D246" s="19" t="n">
        <v>-0.003896481350622816</v>
      </c>
      <c r="E246" s="19" t="n">
        <v>-0.002473297973446531</v>
      </c>
      <c r="F246" s="19" t="n">
        <v>-0.002037170009473122</v>
      </c>
      <c r="G246" s="19" t="n">
        <v>0.008724190288666778</v>
      </c>
      <c r="H246" s="19" t="n">
        <v>-0.004644181824783655</v>
      </c>
      <c r="I246" s="19" t="n">
        <v>-0.007496652011999783</v>
      </c>
      <c r="J246" s="19" t="n">
        <v>-0.02722535747928401</v>
      </c>
      <c r="K246" s="19" t="n">
        <v>-0.001416698358898349</v>
      </c>
      <c r="L246" s="19" t="n">
        <v>-0.003109069401323161</v>
      </c>
      <c r="M246" s="20">
        <f>SUMPRODUCT($B$3:$K$3,B246:K246)</f>
        <v/>
      </c>
      <c r="N246" s="21">
        <f>N245*(1+M246)</f>
        <v/>
      </c>
      <c r="O246" s="21">
        <f>MAX(O245,N246)</f>
        <v/>
      </c>
      <c r="P246" s="20">
        <f>N246/O246-1</f>
        <v/>
      </c>
    </row>
    <row r="247">
      <c r="A247" s="18" t="inlineStr">
        <is>
          <t>2024-12-11</t>
        </is>
      </c>
      <c r="B247" s="19" t="n">
        <v>-0.005166099958035519</v>
      </c>
      <c r="C247" s="19" t="n">
        <v>0.01276700659585872</v>
      </c>
      <c r="D247" s="19" t="n">
        <v>0.002758801182229931</v>
      </c>
      <c r="E247" s="19" t="n">
        <v>-0.0173557982542909</v>
      </c>
      <c r="F247" s="19" t="n">
        <v>-0.006656605746181987</v>
      </c>
      <c r="G247" s="19" t="n">
        <v>-0.009577418714798669</v>
      </c>
      <c r="H247" s="19" t="n">
        <v>0.02319588240507131</v>
      </c>
      <c r="I247" s="19" t="n">
        <v>-0.002157986001174561</v>
      </c>
      <c r="J247" s="19" t="n">
        <v>0.001235747356713279</v>
      </c>
      <c r="K247" s="19" t="n">
        <v>-0.007328305324964535</v>
      </c>
      <c r="L247" s="19" t="n">
        <v>0.007730669235131105</v>
      </c>
      <c r="M247" s="20">
        <f>SUMPRODUCT($B$3:$K$3,B247:K247)</f>
        <v/>
      </c>
      <c r="N247" s="21">
        <f>N246*(1+M247)</f>
        <v/>
      </c>
      <c r="O247" s="21">
        <f>MAX(O246,N247)</f>
        <v/>
      </c>
      <c r="P247" s="20">
        <f>N247/O247-1</f>
        <v/>
      </c>
    </row>
    <row r="248">
      <c r="A248" s="18" t="inlineStr">
        <is>
          <t>2024-12-12</t>
        </is>
      </c>
      <c r="B248" s="19" t="n">
        <v>0.005963741543847156</v>
      </c>
      <c r="C248" s="19" t="n">
        <v>0.001269440132319888</v>
      </c>
      <c r="D248" s="19" t="n">
        <v>-0.008212557000822573</v>
      </c>
      <c r="E248" s="19" t="n">
        <v>-0.002727752575090836</v>
      </c>
      <c r="F248" s="19" t="n">
        <v>-0.0008936008061150025</v>
      </c>
      <c r="G248" s="19" t="n">
        <v>0.001289437776229363</v>
      </c>
      <c r="H248" s="19" t="n">
        <v>-0.005602333522571779</v>
      </c>
      <c r="I248" s="19" t="n">
        <v>-0.01027298196398274</v>
      </c>
      <c r="J248" s="19" t="n">
        <v>-0.02080384499599408</v>
      </c>
      <c r="K248" s="19" t="n">
        <v>0.00214326266869036</v>
      </c>
      <c r="L248" s="19" t="n">
        <v>-0.005152688195033672</v>
      </c>
      <c r="M248" s="20">
        <f>SUMPRODUCT($B$3:$K$3,B248:K248)</f>
        <v/>
      </c>
      <c r="N248" s="21">
        <f>N247*(1+M248)</f>
        <v/>
      </c>
      <c r="O248" s="21">
        <f>MAX(O247,N248)</f>
        <v/>
      </c>
      <c r="P248" s="20">
        <f>N248/O248-1</f>
        <v/>
      </c>
    </row>
    <row r="249">
      <c r="A249" s="18" t="inlineStr">
        <is>
          <t>2024-12-13</t>
        </is>
      </c>
      <c r="B249" s="19" t="n">
        <v>0.0006856036923053033</v>
      </c>
      <c r="C249" s="19" t="n">
        <v>-0.005093895033555618</v>
      </c>
      <c r="D249" s="19" t="n">
        <v>-0.006583071977249388</v>
      </c>
      <c r="E249" s="19" t="n">
        <v>0.002598414640369029</v>
      </c>
      <c r="F249" s="19" t="n">
        <v>-0.008764052564401159</v>
      </c>
      <c r="G249" s="19" t="n">
        <v>0.001229114149431609</v>
      </c>
      <c r="H249" s="19" t="n">
        <v>-0.006594726378065796</v>
      </c>
      <c r="I249" s="19" t="n">
        <v>0.005462751184446946</v>
      </c>
      <c r="J249" s="19" t="n">
        <v>-0.000709168714953412</v>
      </c>
      <c r="K249" s="19" t="n">
        <v>0.004752597203496078</v>
      </c>
      <c r="L249" s="19" t="n">
        <v>-0.0001986980781153447</v>
      </c>
      <c r="M249" s="20">
        <f>SUMPRODUCT($B$3:$K$3,B249:K249)</f>
        <v/>
      </c>
      <c r="N249" s="21">
        <f>N248*(1+M249)</f>
        <v/>
      </c>
      <c r="O249" s="21">
        <f>MAX(O248,N249)</f>
        <v/>
      </c>
      <c r="P249" s="20">
        <f>N249/O249-1</f>
        <v/>
      </c>
    </row>
    <row r="250">
      <c r="A250" s="18" t="inlineStr">
        <is>
          <t>2024-12-16</t>
        </is>
      </c>
      <c r="B250" s="19" t="n">
        <v>0.0117277392474664</v>
      </c>
      <c r="C250" s="19" t="n">
        <v>0.009658645233137975</v>
      </c>
      <c r="D250" s="19" t="n">
        <v>-0.001500349203313101</v>
      </c>
      <c r="E250" s="19" t="n">
        <v>-0.01889220675901004</v>
      </c>
      <c r="F250" s="19" t="n">
        <v>-0.02138213540966072</v>
      </c>
      <c r="G250" s="19" t="n">
        <v>0.0004676992677796754</v>
      </c>
      <c r="H250" s="19" t="n">
        <v>0.02404812186959537</v>
      </c>
      <c r="I250" s="19" t="n">
        <v>-0.0112741014411426</v>
      </c>
      <c r="J250" s="19" t="n">
        <v>-0.004178496922256469</v>
      </c>
      <c r="K250" s="19" t="n">
        <v>-0.03311243857061785</v>
      </c>
      <c r="L250" s="19" t="n">
        <v>0.00427011897486973</v>
      </c>
      <c r="M250" s="20">
        <f>SUMPRODUCT($B$3:$K$3,B250:K250)</f>
        <v/>
      </c>
      <c r="N250" s="21">
        <f>N249*(1+M250)</f>
        <v/>
      </c>
      <c r="O250" s="21">
        <f>MAX(O249,N250)</f>
        <v/>
      </c>
      <c r="P250" s="20">
        <f>N250/O250-1</f>
        <v/>
      </c>
    </row>
    <row r="251">
      <c r="A251" s="18" t="inlineStr">
        <is>
          <t>2024-12-17</t>
        </is>
      </c>
      <c r="B251" s="19" t="n">
        <v>0.009719582133150606</v>
      </c>
      <c r="C251" s="19" t="n">
        <v>0.006355324916474503</v>
      </c>
      <c r="D251" s="19" t="n">
        <v>-0.00509216408695512</v>
      </c>
      <c r="E251" s="19" t="n">
        <v>0.01779629698128771</v>
      </c>
      <c r="F251" s="19" t="n">
        <v>-0.004240739272411309</v>
      </c>
      <c r="G251" s="19" t="n">
        <v>-0.004732902225823343</v>
      </c>
      <c r="H251" s="19" t="n">
        <v>-0.007641775792155969</v>
      </c>
      <c r="I251" s="19" t="n">
        <v>-0.007143806151974075</v>
      </c>
      <c r="J251" s="19" t="n">
        <v>-0.008233885346294878</v>
      </c>
      <c r="K251" s="19" t="n">
        <v>-0.00244615797014136</v>
      </c>
      <c r="L251" s="19" t="n">
        <v>-0.004120034227280023</v>
      </c>
      <c r="M251" s="20">
        <f>SUMPRODUCT($B$3:$K$3,B251:K251)</f>
        <v/>
      </c>
      <c r="N251" s="21">
        <f>N250*(1+M251)</f>
        <v/>
      </c>
      <c r="O251" s="21">
        <f>MAX(O250,N251)</f>
        <v/>
      </c>
      <c r="P251" s="20">
        <f>N251/O251-1</f>
        <v/>
      </c>
    </row>
    <row r="252">
      <c r="A252" s="18" t="inlineStr">
        <is>
          <t>2024-12-18</t>
        </is>
      </c>
      <c r="B252" s="19" t="n">
        <v>-0.02142183238562279</v>
      </c>
      <c r="C252" s="19" t="n">
        <v>-0.03756097125954505</v>
      </c>
      <c r="D252" s="19" t="n">
        <v>-0.0335206438600737</v>
      </c>
      <c r="E252" s="19" t="n">
        <v>-0.01133817881710086</v>
      </c>
      <c r="F252" s="19" t="n">
        <v>-0.0147210722966622</v>
      </c>
      <c r="G252" s="19" t="n">
        <v>-0.007338826400637211</v>
      </c>
      <c r="H252" s="19" t="n">
        <v>-0.04598741035997567</v>
      </c>
      <c r="I252" s="19" t="n">
        <v>-0.02421480258953601</v>
      </c>
      <c r="J252" s="19" t="n">
        <v>-0.03169247680728293</v>
      </c>
      <c r="K252" s="19" t="n">
        <v>-0.01324187521073872</v>
      </c>
      <c r="L252" s="19" t="n">
        <v>-0.02980348254105281</v>
      </c>
      <c r="M252" s="20">
        <f>SUMPRODUCT($B$3:$K$3,B252:K252)</f>
        <v/>
      </c>
      <c r="N252" s="21">
        <f>N251*(1+M252)</f>
        <v/>
      </c>
      <c r="O252" s="21">
        <f>MAX(O251,N252)</f>
        <v/>
      </c>
      <c r="P252" s="20">
        <f>N252/O252-1</f>
        <v/>
      </c>
    </row>
    <row r="253">
      <c r="A253" s="18" t="inlineStr">
        <is>
          <t>2024-12-19</t>
        </is>
      </c>
      <c r="B253" s="19" t="n">
        <v>0.00701464884962788</v>
      </c>
      <c r="C253" s="19" t="n">
        <v>-0.000823115359720239</v>
      </c>
      <c r="D253" s="19" t="n">
        <v>0.01124262530701325</v>
      </c>
      <c r="E253" s="19" t="n">
        <v>-0.008082796198642828</v>
      </c>
      <c r="F253" s="19" t="n">
        <v>-0.008550776542455951</v>
      </c>
      <c r="G253" s="19" t="n">
        <v>0.0006507238687540884</v>
      </c>
      <c r="H253" s="19" t="n">
        <v>0.01256116887359338</v>
      </c>
      <c r="I253" s="19" t="n">
        <v>-0.01063532061852324</v>
      </c>
      <c r="J253" s="19" t="n">
        <v>-0.009673141751405878</v>
      </c>
      <c r="K253" s="19" t="n">
        <v>-0.006709521733874291</v>
      </c>
      <c r="L253" s="19" t="n">
        <v>-0.000307063417169573</v>
      </c>
      <c r="M253" s="20">
        <f>SUMPRODUCT($B$3:$K$3,B253:K253)</f>
        <v/>
      </c>
      <c r="N253" s="21">
        <f>N252*(1+M253)</f>
        <v/>
      </c>
      <c r="O253" s="21">
        <f>MAX(O252,N253)</f>
        <v/>
      </c>
      <c r="P253" s="20">
        <f>N253/O253-1</f>
        <v/>
      </c>
    </row>
    <row r="254">
      <c r="A254" s="18" t="inlineStr">
        <is>
          <t>2024-12-20</t>
        </is>
      </c>
      <c r="B254" s="19" t="n">
        <v>0.01881592954298839</v>
      </c>
      <c r="C254" s="19" t="n">
        <v>-0.0009838516098623629</v>
      </c>
      <c r="D254" s="19" t="n">
        <v>0.01991758474711358</v>
      </c>
      <c r="E254" s="19" t="n">
        <v>0.006198550599962216</v>
      </c>
      <c r="F254" s="19" t="n">
        <v>0.00341189665254249</v>
      </c>
      <c r="G254" s="19" t="n">
        <v>-0.006678925099875332</v>
      </c>
      <c r="H254" s="19" t="n">
        <v>0.00729994595290151</v>
      </c>
      <c r="I254" s="19" t="n">
        <v>0.02723239953496348</v>
      </c>
      <c r="J254" s="19" t="n">
        <v>0.01573375073666283</v>
      </c>
      <c r="K254" s="19" t="n">
        <v>-0.001000761204191791</v>
      </c>
      <c r="L254" s="19" t="n">
        <v>0.01201090085005885</v>
      </c>
      <c r="M254" s="20">
        <f>SUMPRODUCT($B$3:$K$3,B254:K254)</f>
        <v/>
      </c>
      <c r="N254" s="21">
        <f>N253*(1+M254)</f>
        <v/>
      </c>
      <c r="O254" s="21">
        <f>MAX(O253,N254)</f>
        <v/>
      </c>
      <c r="P254" s="20">
        <f>N254/O254-1</f>
        <v/>
      </c>
    </row>
    <row r="255">
      <c r="A255" s="18" t="inlineStr">
        <is>
          <t>2024-12-23</t>
        </is>
      </c>
      <c r="B255" s="19" t="n">
        <v>0.003064966108721867</v>
      </c>
      <c r="C255" s="19" t="n">
        <v>-0.003092072853760119</v>
      </c>
      <c r="D255" s="19" t="n">
        <v>0.003324961789311187</v>
      </c>
      <c r="E255" s="19" t="n">
        <v>0.005537449231845626</v>
      </c>
      <c r="F255" s="19" t="n">
        <v>0.004061698679844961</v>
      </c>
      <c r="G255" s="19" t="n">
        <v>0.0002975181102122804</v>
      </c>
      <c r="H255" s="19" t="n">
        <v>0.0006224408269079884</v>
      </c>
      <c r="I255" s="19" t="n">
        <v>0.01144142326221953</v>
      </c>
      <c r="J255" s="19" t="n">
        <v>-0.001775685623775503</v>
      </c>
      <c r="K255" s="19" t="n">
        <v>0.0002503068779482476</v>
      </c>
      <c r="L255" s="19" t="n">
        <v>0.005988235135583553</v>
      </c>
      <c r="M255" s="20">
        <f>SUMPRODUCT($B$3:$K$3,B255:K255)</f>
        <v/>
      </c>
      <c r="N255" s="21">
        <f>N254*(1+M255)</f>
        <v/>
      </c>
      <c r="O255" s="21">
        <f>MAX(O254,N255)</f>
        <v/>
      </c>
      <c r="P255" s="20">
        <f>N255/O255-1</f>
        <v/>
      </c>
    </row>
    <row r="256">
      <c r="A256" s="18" t="inlineStr">
        <is>
          <t>2024-12-24</t>
        </is>
      </c>
      <c r="B256" s="19" t="n">
        <v>0.01147804076683245</v>
      </c>
      <c r="C256" s="19" t="n">
        <v>0.009373796076078689</v>
      </c>
      <c r="D256" s="19" t="n">
        <v>0.01644369647805655</v>
      </c>
      <c r="E256" s="19" t="n">
        <v>0.003992668686374712</v>
      </c>
      <c r="F256" s="19" t="n">
        <v>0.0009405411329637126</v>
      </c>
      <c r="G256" s="19" t="n">
        <v>0.004937255493186132</v>
      </c>
      <c r="H256" s="19" t="n">
        <v>0.01772863030501592</v>
      </c>
      <c r="I256" s="19" t="n">
        <v>0.005794012358548706</v>
      </c>
      <c r="J256" s="19" t="n">
        <v>0.005966131500727556</v>
      </c>
      <c r="K256" s="19" t="n">
        <v>-0.003505242048580381</v>
      </c>
      <c r="L256" s="19" t="n">
        <v>0.01111517734020406</v>
      </c>
      <c r="M256" s="20">
        <f>SUMPRODUCT($B$3:$K$3,B256:K256)</f>
        <v/>
      </c>
      <c r="N256" s="21">
        <f>N255*(1+M256)</f>
        <v/>
      </c>
      <c r="O256" s="21">
        <f>MAX(O255,N256)</f>
        <v/>
      </c>
      <c r="P256" s="20">
        <f>N256/O256-1</f>
        <v/>
      </c>
    </row>
    <row r="257">
      <c r="A257" s="18" t="inlineStr">
        <is>
          <t>2024-12-26</t>
        </is>
      </c>
      <c r="B257" s="19" t="n">
        <v>0.003175812206590578</v>
      </c>
      <c r="C257" s="19" t="n">
        <v>-0.002776882657852697</v>
      </c>
      <c r="D257" s="19" t="n">
        <v>0.003425333616380755</v>
      </c>
      <c r="E257" s="19" t="n">
        <v>-0.001851285404272152</v>
      </c>
      <c r="F257" s="19" t="n">
        <v>0.0008458584329469332</v>
      </c>
      <c r="G257" s="19" t="n">
        <v>0.007221324429453002</v>
      </c>
      <c r="H257" s="19" t="n">
        <v>-0.00873171784917226</v>
      </c>
      <c r="I257" s="19" t="n">
        <v>-0.007406593934871308</v>
      </c>
      <c r="J257" s="19" t="n">
        <v>-0.00122417121268581</v>
      </c>
      <c r="K257" s="19" t="n">
        <v>0.004020036162357243</v>
      </c>
      <c r="L257" s="19" t="n">
        <v>6.65501538725799e-05</v>
      </c>
      <c r="M257" s="20">
        <f>SUMPRODUCT($B$3:$K$3,B257:K257)</f>
        <v/>
      </c>
      <c r="N257" s="21">
        <f>N256*(1+M257)</f>
        <v/>
      </c>
      <c r="O257" s="21">
        <f>MAX(O256,N257)</f>
        <v/>
      </c>
      <c r="P257" s="20">
        <f>N257/O257-1</f>
        <v/>
      </c>
    </row>
    <row r="258">
      <c r="A258" s="18" t="inlineStr">
        <is>
          <t>2024-12-27</t>
        </is>
      </c>
      <c r="B258" s="19" t="n">
        <v>-0.01324228316732956</v>
      </c>
      <c r="C258" s="19" t="n">
        <v>-0.01730164550964997</v>
      </c>
      <c r="D258" s="19" t="n">
        <v>-0.008102367755461914</v>
      </c>
      <c r="E258" s="19" t="n">
        <v>-0.003640508960011668</v>
      </c>
      <c r="F258" s="19" t="n">
        <v>-9.387116739123513e-05</v>
      </c>
      <c r="G258" s="19" t="n">
        <v>-0.003702295125650124</v>
      </c>
      <c r="H258" s="19" t="n">
        <v>-0.01453425680424036</v>
      </c>
      <c r="I258" s="19" t="n">
        <v>-0.003592521565571105</v>
      </c>
      <c r="J258" s="19" t="n">
        <v>-0.006156034953503142</v>
      </c>
      <c r="K258" s="19" t="n">
        <v>-0.00100101183532264</v>
      </c>
      <c r="L258" s="19" t="n">
        <v>-0.01052633321980201</v>
      </c>
      <c r="M258" s="20">
        <f>SUMPRODUCT($B$3:$K$3,B258:K258)</f>
        <v/>
      </c>
      <c r="N258" s="21">
        <f>N257*(1+M258)</f>
        <v/>
      </c>
      <c r="O258" s="21">
        <f>MAX(O257,N258)</f>
        <v/>
      </c>
      <c r="P258" s="20">
        <f>N258/O258-1</f>
        <v/>
      </c>
    </row>
    <row r="259">
      <c r="A259" s="18" t="inlineStr">
        <is>
          <t>2024-12-30</t>
        </is>
      </c>
      <c r="B259" s="19" t="n">
        <v>-0.01326334675192475</v>
      </c>
      <c r="C259" s="19" t="n">
        <v>-0.01323942330037897</v>
      </c>
      <c r="D259" s="19" t="n">
        <v>-0.007671008506276888</v>
      </c>
      <c r="E259" s="19" t="n">
        <v>-0.01178906954512215</v>
      </c>
      <c r="F259" s="19" t="n">
        <v>-0.006761858996361725</v>
      </c>
      <c r="G259" s="19" t="n">
        <v>-0.01439276417946989</v>
      </c>
      <c r="H259" s="19" t="n">
        <v>-0.01094970703124998</v>
      </c>
      <c r="I259" s="19" t="n">
        <v>-0.004853638880214839</v>
      </c>
      <c r="J259" s="19" t="n">
        <v>-0.005070416134440703</v>
      </c>
      <c r="K259" s="19" t="n">
        <v>-0.008016118912486214</v>
      </c>
      <c r="L259" s="19" t="n">
        <v>-0.01141178505855878</v>
      </c>
      <c r="M259" s="20">
        <f>SUMPRODUCT($B$3:$K$3,B259:K259)</f>
        <v/>
      </c>
      <c r="N259" s="21">
        <f>N258*(1+M259)</f>
        <v/>
      </c>
      <c r="O259" s="21">
        <f>MAX(O258,N259)</f>
        <v/>
      </c>
      <c r="P259" s="20">
        <f>N259/O259-1</f>
        <v/>
      </c>
    </row>
    <row r="260">
      <c r="A260" s="18" t="inlineStr">
        <is>
          <t>2024-12-31</t>
        </is>
      </c>
      <c r="B260" s="19" t="n">
        <v>-0.007057913417427786</v>
      </c>
      <c r="C260" s="19" t="n">
        <v>-0.007838535647324174</v>
      </c>
      <c r="D260" s="19" t="n">
        <v>0.001629633161182253</v>
      </c>
      <c r="E260" s="19" t="n">
        <v>0.008929585651128891</v>
      </c>
      <c r="F260" s="19" t="n">
        <v>0.01711428977055363</v>
      </c>
      <c r="G260" s="19" t="n">
        <v>0.003351489911993299</v>
      </c>
      <c r="H260" s="19" t="n">
        <v>-0.008630834323407832</v>
      </c>
      <c r="I260" s="19" t="n">
        <v>-0.0009755295339661796</v>
      </c>
      <c r="J260" s="19" t="n">
        <v>-0.0006887621779412267</v>
      </c>
      <c r="K260" s="19" t="n">
        <v>0.009848727584320427</v>
      </c>
      <c r="L260" s="19" t="n">
        <v>-0.0036379652702071</v>
      </c>
      <c r="M260" s="20">
        <f>SUMPRODUCT($B$3:$K$3,B260:K260)</f>
        <v/>
      </c>
      <c r="N260" s="21">
        <f>N259*(1+M260)</f>
        <v/>
      </c>
      <c r="O260" s="21">
        <f>MAX(O259,N260)</f>
        <v/>
      </c>
      <c r="P260" s="20">
        <f>N260/O260-1</f>
        <v/>
      </c>
    </row>
    <row r="261">
      <c r="A261" s="18" t="inlineStr">
        <is>
          <t>2025-01-02</t>
        </is>
      </c>
      <c r="B261" s="19" t="n">
        <v>-0.02623596162468156</v>
      </c>
      <c r="C261" s="19" t="n">
        <v>-0.006927558053768879</v>
      </c>
      <c r="D261" s="19" t="n">
        <v>0.001209803582115976</v>
      </c>
      <c r="E261" s="19" t="n">
        <v>-0.004148614261408445</v>
      </c>
      <c r="F261" s="19" t="n">
        <v>-0.002417046138010304</v>
      </c>
      <c r="G261" s="19" t="n">
        <v>-0.009961197494353868</v>
      </c>
      <c r="H261" s="19" t="n">
        <v>0.003783225458606987</v>
      </c>
      <c r="I261" s="19" t="n">
        <v>-0.001115979566988279</v>
      </c>
      <c r="J261" s="19" t="n">
        <v>-0.008242403809481602</v>
      </c>
      <c r="K261" s="19" t="n">
        <v>0.005501273482596103</v>
      </c>
      <c r="L261" s="19" t="n">
        <v>-0.002457066638973049</v>
      </c>
      <c r="M261" s="20">
        <f>SUMPRODUCT($B$3:$K$3,B261:K261)</f>
        <v/>
      </c>
      <c r="N261" s="21">
        <f>N260*(1+M261)</f>
        <v/>
      </c>
      <c r="O261" s="21">
        <f>MAX(O260,N261)</f>
        <v/>
      </c>
      <c r="P261" s="20">
        <f>N261/O261-1</f>
        <v/>
      </c>
    </row>
    <row r="262">
      <c r="A262" s="18" t="inlineStr">
        <is>
          <t>2025-01-03</t>
        </is>
      </c>
      <c r="B262" s="19" t="n">
        <v>-0.002009414580971702</v>
      </c>
      <c r="C262" s="19" t="n">
        <v>0.01139577176379025</v>
      </c>
      <c r="D262" s="19" t="n">
        <v>0.01366668666193127</v>
      </c>
      <c r="E262" s="19" t="n">
        <v>0.001180270903127001</v>
      </c>
      <c r="F262" s="19" t="n">
        <v>0.005125341554731211</v>
      </c>
      <c r="G262" s="19" t="n">
        <v>-0.005121094249259106</v>
      </c>
      <c r="H262" s="19" t="n">
        <v>0.01802743256151573</v>
      </c>
      <c r="I262" s="19" t="n">
        <v>0.005306376205772567</v>
      </c>
      <c r="J262" s="19" t="n">
        <v>0.01117384644199881</v>
      </c>
      <c r="K262" s="19" t="n">
        <v>0.00124345855707908</v>
      </c>
      <c r="L262" s="19" t="n">
        <v>0.01250347555318254</v>
      </c>
      <c r="M262" s="20">
        <f>SUMPRODUCT($B$3:$K$3,B262:K262)</f>
        <v/>
      </c>
      <c r="N262" s="21">
        <f>N261*(1+M262)</f>
        <v/>
      </c>
      <c r="O262" s="21">
        <f>MAX(O261,N262)</f>
        <v/>
      </c>
      <c r="P262" s="20">
        <f>N262/O262-1</f>
        <v/>
      </c>
    </row>
    <row r="263">
      <c r="A263" s="18" t="inlineStr">
        <is>
          <t>2025-01-06</t>
        </is>
      </c>
      <c r="B263" s="19" t="n">
        <v>0.006738944345732412</v>
      </c>
      <c r="C263" s="19" t="n">
        <v>0.01062939708067945</v>
      </c>
      <c r="D263" s="19" t="n">
        <v>-0.00487538263705356</v>
      </c>
      <c r="E263" s="19" t="n">
        <v>-0.003675604009520161</v>
      </c>
      <c r="F263" s="19" t="n">
        <v>-0.001112520118751625</v>
      </c>
      <c r="G263" s="19" t="n">
        <v>-0.02743295776983057</v>
      </c>
      <c r="H263" s="19" t="n">
        <v>0.0152549093701857</v>
      </c>
      <c r="I263" s="19" t="n">
        <v>-0.01041792992149004</v>
      </c>
      <c r="J263" s="19" t="n">
        <v>0.001127055623515005</v>
      </c>
      <c r="K263" s="19" t="n">
        <v>-0.0161449921103981</v>
      </c>
      <c r="L263" s="19" t="n">
        <v>0.005760621082697703</v>
      </c>
      <c r="M263" s="20">
        <f>SUMPRODUCT($B$3:$K$3,B263:K263)</f>
        <v/>
      </c>
      <c r="N263" s="21">
        <f>N262*(1+M263)</f>
        <v/>
      </c>
      <c r="O263" s="21">
        <f>MAX(O262,N263)</f>
        <v/>
      </c>
      <c r="P263" s="20">
        <f>N263/O263-1</f>
        <v/>
      </c>
    </row>
    <row r="264">
      <c r="A264" s="18" t="inlineStr">
        <is>
          <t>2025-01-07</t>
        </is>
      </c>
      <c r="B264" s="19" t="n">
        <v>-0.01138768724313288</v>
      </c>
      <c r="C264" s="19" t="n">
        <v>-0.0128083026661554</v>
      </c>
      <c r="D264" s="19" t="n">
        <v>0.009632538547452274</v>
      </c>
      <c r="E264" s="19" t="n">
        <v>0.0178895753423971</v>
      </c>
      <c r="F264" s="19" t="n">
        <v>0.009374358332271182</v>
      </c>
      <c r="G264" s="19" t="n">
        <v>0.004358832949718616</v>
      </c>
      <c r="H264" s="19" t="n">
        <v>-0.02416414035082548</v>
      </c>
      <c r="I264" s="19" t="n">
        <v>-0.01137010312524089</v>
      </c>
      <c r="J264" s="19" t="n">
        <v>-0.003294948182571034</v>
      </c>
      <c r="K264" s="19" t="n">
        <v>-0.01742000336006322</v>
      </c>
      <c r="L264" s="19" t="n">
        <v>-0.01130409940332044</v>
      </c>
      <c r="M264" s="20">
        <f>SUMPRODUCT($B$3:$K$3,B264:K264)</f>
        <v/>
      </c>
      <c r="N264" s="21">
        <f>N263*(1+M264)</f>
        <v/>
      </c>
      <c r="O264" s="21">
        <f>MAX(O263,N264)</f>
        <v/>
      </c>
      <c r="P264" s="20">
        <f>N264/O264-1</f>
        <v/>
      </c>
    </row>
    <row r="265">
      <c r="A265" s="18" t="inlineStr">
        <is>
          <t>2025-01-08</t>
        </is>
      </c>
      <c r="B265" s="19" t="n">
        <v>0.002022956751811744</v>
      </c>
      <c r="C265" s="19" t="n">
        <v>0.005185149592104032</v>
      </c>
      <c r="D265" s="19" t="n">
        <v>-0.0001644792669810435</v>
      </c>
      <c r="E265" s="19" t="n">
        <v>-0.02708060563663162</v>
      </c>
      <c r="F265" s="19" t="n">
        <v>-0.01673551668076512</v>
      </c>
      <c r="G265" s="19" t="n">
        <v>0.004959492760966855</v>
      </c>
      <c r="H265" s="19" t="n">
        <v>9.006470850447812e-05</v>
      </c>
      <c r="I265" s="19" t="n">
        <v>0.003265840960895883</v>
      </c>
      <c r="J265" s="19" t="n">
        <v>-0.00531680372886334</v>
      </c>
      <c r="K265" s="19" t="n">
        <v>0.0005140452522660599</v>
      </c>
      <c r="L265" s="19" t="n">
        <v>0.001460938914927823</v>
      </c>
      <c r="M265" s="20">
        <f>SUMPRODUCT($B$3:$K$3,B265:K265)</f>
        <v/>
      </c>
      <c r="N265" s="21">
        <f>N264*(1+M265)</f>
        <v/>
      </c>
      <c r="O265" s="21">
        <f>MAX(O264,N265)</f>
        <v/>
      </c>
      <c r="P265" s="20">
        <f>N265/O265-1</f>
        <v/>
      </c>
    </row>
    <row r="266">
      <c r="A266" s="18" t="inlineStr">
        <is>
          <t>2025-01-10</t>
        </is>
      </c>
      <c r="B266" s="19" t="n">
        <v>-0.02410380703782311</v>
      </c>
      <c r="C266" s="19" t="n">
        <v>-0.0132137563909821</v>
      </c>
      <c r="D266" s="19" t="n">
        <v>-0.01340855876487301</v>
      </c>
      <c r="E266" s="19" t="n">
        <v>-0.001476245851989466</v>
      </c>
      <c r="F266" s="19" t="n">
        <v>-0.00364734421807289</v>
      </c>
      <c r="G266" s="19" t="n">
        <v>-0.02183832935753216</v>
      </c>
      <c r="H266" s="19" t="n">
        <v>-0.01436097047352602</v>
      </c>
      <c r="I266" s="19" t="n">
        <v>-0.04641979238650396</v>
      </c>
      <c r="J266" s="19" t="n">
        <v>-0.02788919833822712</v>
      </c>
      <c r="K266" s="19" t="n">
        <v>-0.01181311738689506</v>
      </c>
      <c r="L266" s="19" t="n">
        <v>-0.01526743910206363</v>
      </c>
      <c r="M266" s="20">
        <f>SUMPRODUCT($B$3:$K$3,B266:K266)</f>
        <v/>
      </c>
      <c r="N266" s="21">
        <f>N265*(1+M266)</f>
        <v/>
      </c>
      <c r="O266" s="21">
        <f>MAX(O265,N266)</f>
        <v/>
      </c>
      <c r="P266" s="20">
        <f>N266/O266-1</f>
        <v/>
      </c>
    </row>
    <row r="267">
      <c r="A267" s="18" t="inlineStr">
        <is>
          <t>2025-01-13</t>
        </is>
      </c>
      <c r="B267" s="19" t="n">
        <v>-0.01034413973761028</v>
      </c>
      <c r="C267" s="19" t="n">
        <v>-0.004200871470184775</v>
      </c>
      <c r="D267" s="19" t="n">
        <v>0.01809315600381334</v>
      </c>
      <c r="E267" s="19" t="n">
        <v>0.01696469566128966</v>
      </c>
      <c r="F267" s="19" t="n">
        <v>0.02581184491886068</v>
      </c>
      <c r="G267" s="19" t="n">
        <v>0.001765944900176564</v>
      </c>
      <c r="H267" s="19" t="n">
        <v>-0.002192361935628995</v>
      </c>
      <c r="I267" s="19" t="n">
        <v>-0.00623306519210165</v>
      </c>
      <c r="J267" s="19" t="n">
        <v>0.03276332493817291</v>
      </c>
      <c r="K267" s="19" t="n">
        <v>0.008198803798598719</v>
      </c>
      <c r="L267" s="19" t="n">
        <v>0.001550361168432657</v>
      </c>
      <c r="M267" s="20">
        <f>SUMPRODUCT($B$3:$K$3,B267:K267)</f>
        <v/>
      </c>
      <c r="N267" s="21">
        <f>N266*(1+M267)</f>
        <v/>
      </c>
      <c r="O267" s="21">
        <f>MAX(O266,N267)</f>
        <v/>
      </c>
      <c r="P267" s="20">
        <f>N267/O267-1</f>
        <v/>
      </c>
    </row>
    <row r="268">
      <c r="A268" s="18" t="inlineStr">
        <is>
          <t>2025-01-14</t>
        </is>
      </c>
      <c r="B268" s="19" t="n">
        <v>-0.004778125129295097</v>
      </c>
      <c r="C268" s="19" t="n">
        <v>-0.003643502434254486</v>
      </c>
      <c r="D268" s="19" t="n">
        <v>0.01334926142447412</v>
      </c>
      <c r="E268" s="19" t="n">
        <v>0.001938096170847059</v>
      </c>
      <c r="F268" s="19" t="n">
        <v>0.003934522900802762</v>
      </c>
      <c r="G268" s="19" t="n">
        <v>0.005666180390242026</v>
      </c>
      <c r="H268" s="19" t="n">
        <v>-0.003204303696411004</v>
      </c>
      <c r="I268" s="19" t="n">
        <v>0.01523306597545604</v>
      </c>
      <c r="J268" s="19" t="n">
        <v>0.02502077276044545</v>
      </c>
      <c r="K268" s="19" t="n">
        <v>0.004197196372165424</v>
      </c>
      <c r="L268" s="19" t="n">
        <v>0.001376048829127452</v>
      </c>
      <c r="M268" s="20">
        <f>SUMPRODUCT($B$3:$K$3,B268:K268)</f>
        <v/>
      </c>
      <c r="N268" s="21">
        <f>N267*(1+M268)</f>
        <v/>
      </c>
      <c r="O268" s="21">
        <f>MAX(O267,N268)</f>
        <v/>
      </c>
      <c r="P268" s="20">
        <f>N268/O268-1</f>
        <v/>
      </c>
    </row>
    <row r="269">
      <c r="A269" s="18" t="inlineStr">
        <is>
          <t>2025-01-15</t>
        </is>
      </c>
      <c r="B269" s="19" t="n">
        <v>0.01967592760353898</v>
      </c>
      <c r="C269" s="19" t="n">
        <v>0.02559726162286347</v>
      </c>
      <c r="D269" s="19" t="n">
        <v>0.01971951335726319</v>
      </c>
      <c r="E269" s="19" t="n">
        <v>0.001520057137369246</v>
      </c>
      <c r="F269" s="19" t="n">
        <v>0.01631431358339785</v>
      </c>
      <c r="G269" s="19" t="n">
        <v>-0.0005636861627175138</v>
      </c>
      <c r="H269" s="19" t="n">
        <v>0.02567051679689558</v>
      </c>
      <c r="I269" s="19" t="n">
        <v>0.01927017350168736</v>
      </c>
      <c r="J269" s="19" t="n">
        <v>0.00893510891931415</v>
      </c>
      <c r="K269" s="19" t="n">
        <v>-0.002612434603948</v>
      </c>
      <c r="L269" s="19" t="n">
        <v>0.01819008810431422</v>
      </c>
      <c r="M269" s="20">
        <f>SUMPRODUCT($B$3:$K$3,B269:K269)</f>
        <v/>
      </c>
      <c r="N269" s="21">
        <f>N268*(1+M269)</f>
        <v/>
      </c>
      <c r="O269" s="21">
        <f>MAX(O268,N269)</f>
        <v/>
      </c>
      <c r="P269" s="20">
        <f>N269/O269-1</f>
        <v/>
      </c>
    </row>
    <row r="270">
      <c r="A270" s="18" t="inlineStr">
        <is>
          <t>2025-01-16</t>
        </is>
      </c>
      <c r="B270" s="19" t="n">
        <v>-0.04040019298646558</v>
      </c>
      <c r="C270" s="19" t="n">
        <v>-0.0040582419882359</v>
      </c>
      <c r="D270" s="19" t="n">
        <v>0.00760848538352521</v>
      </c>
      <c r="E270" s="19" t="n">
        <v>0.01931422386427761</v>
      </c>
      <c r="F270" s="19" t="n">
        <v>-0.001703910557936283</v>
      </c>
      <c r="G270" s="19" t="n">
        <v>0.005324242678602209</v>
      </c>
      <c r="H270" s="19" t="n">
        <v>-0.01204388792431699</v>
      </c>
      <c r="I270" s="19" t="n">
        <v>0.03001885793802717</v>
      </c>
      <c r="J270" s="19" t="n">
        <v>0.01509775739299424</v>
      </c>
      <c r="K270" s="19" t="n">
        <v>0.00419082163004858</v>
      </c>
      <c r="L270" s="19" t="n">
        <v>-0.001923257621928021</v>
      </c>
      <c r="M270" s="20">
        <f>SUMPRODUCT($B$3:$K$3,B270:K270)</f>
        <v/>
      </c>
      <c r="N270" s="21">
        <f>N269*(1+M270)</f>
        <v/>
      </c>
      <c r="O270" s="21">
        <f>MAX(O269,N270)</f>
        <v/>
      </c>
      <c r="P270" s="20">
        <f>N270/O270-1</f>
        <v/>
      </c>
    </row>
    <row r="271">
      <c r="A271" s="18" t="inlineStr">
        <is>
          <t>2025-01-17</t>
        </is>
      </c>
      <c r="B271" s="19" t="n">
        <v>0.007535213685917919</v>
      </c>
      <c r="C271" s="19" t="n">
        <v>0.01048114534202216</v>
      </c>
      <c r="D271" s="19" t="n">
        <v>0.01923153736674266</v>
      </c>
      <c r="E271" s="19" t="n">
        <v>-0.005007855321511268</v>
      </c>
      <c r="F271" s="19" t="n">
        <v>0.008983085316734085</v>
      </c>
      <c r="G271" s="19" t="n">
        <v>0.003925224322046228</v>
      </c>
      <c r="H271" s="19" t="n">
        <v>0.02392820942476748</v>
      </c>
      <c r="I271" s="19" t="n">
        <v>-0.008546934417070662</v>
      </c>
      <c r="J271" s="19" t="n">
        <v>0.01437384999617519</v>
      </c>
      <c r="K271" s="19" t="n">
        <v>0.0114760866664092</v>
      </c>
      <c r="L271" s="19" t="n">
        <v>0.01003990252734233</v>
      </c>
      <c r="M271" s="20">
        <f>SUMPRODUCT($B$3:$K$3,B271:K271)</f>
        <v/>
      </c>
      <c r="N271" s="21">
        <f>N270*(1+M271)</f>
        <v/>
      </c>
      <c r="O271" s="21">
        <f>MAX(O270,N271)</f>
        <v/>
      </c>
      <c r="P271" s="20">
        <f>N271/O271-1</f>
        <v/>
      </c>
    </row>
    <row r="272">
      <c r="A272" s="18" t="inlineStr">
        <is>
          <t>2025-01-21</t>
        </is>
      </c>
      <c r="B272" s="19" t="n">
        <v>-0.03191571903645563</v>
      </c>
      <c r="C272" s="19" t="n">
        <v>-0.00123540376437592</v>
      </c>
      <c r="D272" s="19" t="n">
        <v>0.01493285933978594</v>
      </c>
      <c r="E272" s="19" t="n">
        <v>0.007617513510482343</v>
      </c>
      <c r="F272" s="19" t="n">
        <v>-0.007567623789977884</v>
      </c>
      <c r="G272" s="19" t="n">
        <v>0.003661566341570666</v>
      </c>
      <c r="H272" s="19" t="n">
        <v>0.02111181827440212</v>
      </c>
      <c r="I272" s="19" t="n">
        <v>0.001271864105154785</v>
      </c>
      <c r="J272" s="19" t="n">
        <v>0.03575061062588758</v>
      </c>
      <c r="K272" s="19" t="n">
        <v>0.006189026973767664</v>
      </c>
      <c r="L272" s="19" t="n">
        <v>0.009153507061779642</v>
      </c>
      <c r="M272" s="20">
        <f>SUMPRODUCT($B$3:$K$3,B272:K272)</f>
        <v/>
      </c>
      <c r="N272" s="21">
        <f>N271*(1+M272)</f>
        <v/>
      </c>
      <c r="O272" s="21">
        <f>MAX(O271,N272)</f>
        <v/>
      </c>
      <c r="P272" s="20">
        <f>N272/O272-1</f>
        <v/>
      </c>
    </row>
    <row r="273">
      <c r="A273" s="18" t="inlineStr">
        <is>
          <t>2025-01-22</t>
        </is>
      </c>
      <c r="B273" s="19" t="n">
        <v>0.005344816017217369</v>
      </c>
      <c r="C273" s="19" t="n">
        <v>0.04130689664608211</v>
      </c>
      <c r="D273" s="19" t="n">
        <v>-0.0007222864706251109</v>
      </c>
      <c r="E273" s="19" t="n">
        <v>-0.01943979346938385</v>
      </c>
      <c r="F273" s="19" t="n">
        <v>-0.01740385735864958</v>
      </c>
      <c r="G273" s="19" t="n">
        <v>0.0186742718359616</v>
      </c>
      <c r="H273" s="19" t="n">
        <v>0.01863806366362653</v>
      </c>
      <c r="I273" s="19" t="n">
        <v>-0.03330989888390601</v>
      </c>
      <c r="J273" s="19" t="n">
        <v>-0.001882753094533784</v>
      </c>
      <c r="K273" s="19" t="n">
        <v>-0.001794141897019985</v>
      </c>
      <c r="L273" s="19" t="n">
        <v>0.005621668925867462</v>
      </c>
      <c r="M273" s="20">
        <f>SUMPRODUCT($B$3:$K$3,B273:K273)</f>
        <v/>
      </c>
      <c r="N273" s="21">
        <f>N272*(1+M273)</f>
        <v/>
      </c>
      <c r="O273" s="21">
        <f>MAX(O272,N273)</f>
        <v/>
      </c>
      <c r="P273" s="20">
        <f>N273/O273-1</f>
        <v/>
      </c>
    </row>
    <row r="274">
      <c r="A274" s="18" t="inlineStr">
        <is>
          <t>2025-01-23</t>
        </is>
      </c>
      <c r="B274" s="19" t="n">
        <v>-0.0007593779294655656</v>
      </c>
      <c r="C274" s="19" t="n">
        <v>0.00114286578014533</v>
      </c>
      <c r="D274" s="19" t="n">
        <v>0.01183231128858986</v>
      </c>
      <c r="E274" s="19" t="n">
        <v>0.009430767252571082</v>
      </c>
      <c r="F274" s="19" t="n">
        <v>0.005660687984849533</v>
      </c>
      <c r="G274" s="19" t="n">
        <v>0.008558940081976996</v>
      </c>
      <c r="H274" s="19" t="n">
        <v>0.001744622236044657</v>
      </c>
      <c r="I274" s="19" t="n">
        <v>0.01080464637823919</v>
      </c>
      <c r="J274" s="19" t="n">
        <v>0.02210698623877105</v>
      </c>
      <c r="K274" s="19" t="n">
        <v>0.005905015903853617</v>
      </c>
      <c r="L274" s="19" t="n">
        <v>0.005457859778855267</v>
      </c>
      <c r="M274" s="20">
        <f>SUMPRODUCT($B$3:$K$3,B274:K274)</f>
        <v/>
      </c>
      <c r="N274" s="21">
        <f>N273*(1+M274)</f>
        <v/>
      </c>
      <c r="O274" s="21">
        <f>MAX(O273,N274)</f>
        <v/>
      </c>
      <c r="P274" s="20">
        <f>N274/O274-1</f>
        <v/>
      </c>
    </row>
    <row r="275">
      <c r="A275" s="18" t="inlineStr">
        <is>
          <t>2025-01-24</t>
        </is>
      </c>
      <c r="B275" s="19" t="n">
        <v>-0.003934600300697366</v>
      </c>
      <c r="C275" s="19" t="n">
        <v>-0.00593219793144939</v>
      </c>
      <c r="D275" s="19" t="n">
        <v>-0.004173816237400763</v>
      </c>
      <c r="E275" s="19" t="n">
        <v>0.001227505003730922</v>
      </c>
      <c r="F275" s="19" t="n">
        <v>-0.01352718383034179</v>
      </c>
      <c r="G275" s="19" t="n">
        <v>-0.006194626820108295</v>
      </c>
      <c r="H275" s="19" t="n">
        <v>-0.002421170970448583</v>
      </c>
      <c r="I275" s="19" t="n">
        <v>0.05200041339012418</v>
      </c>
      <c r="J275" s="19" t="n">
        <v>0.003026684799776413</v>
      </c>
      <c r="K275" s="19" t="n">
        <v>0.009188492813969162</v>
      </c>
      <c r="L275" s="19" t="n">
        <v>-0.002919369649680759</v>
      </c>
      <c r="M275" s="20">
        <f>SUMPRODUCT($B$3:$K$3,B275:K275)</f>
        <v/>
      </c>
      <c r="N275" s="21">
        <f>N274*(1+M275)</f>
        <v/>
      </c>
      <c r="O275" s="21">
        <f>MAX(O274,N275)</f>
        <v/>
      </c>
      <c r="P275" s="20">
        <f>N275/O275-1</f>
        <v/>
      </c>
    </row>
    <row r="276">
      <c r="A276" s="18" t="inlineStr">
        <is>
          <t>2025-01-27</t>
        </is>
      </c>
      <c r="B276" s="19" t="n">
        <v>0.03178030647978747</v>
      </c>
      <c r="C276" s="19" t="n">
        <v>-0.02139348154687859</v>
      </c>
      <c r="D276" s="19" t="n">
        <v>0.003813638557392363</v>
      </c>
      <c r="E276" s="19" t="n">
        <v>0.04134313886711927</v>
      </c>
      <c r="F276" s="19" t="n">
        <v>0.01389667076579548</v>
      </c>
      <c r="G276" s="19" t="n">
        <v>0.0337558736294461</v>
      </c>
      <c r="H276" s="19" t="n">
        <v>0.00242704726683507</v>
      </c>
      <c r="I276" s="19" t="n">
        <v>0.01373072982900991</v>
      </c>
      <c r="J276" s="19" t="n">
        <v>-0.03103301586953333</v>
      </c>
      <c r="K276" s="19" t="n">
        <v>0.02781976178387868</v>
      </c>
      <c r="L276" s="19" t="n">
        <v>-0.01414516852184344</v>
      </c>
      <c r="M276" s="20">
        <f>SUMPRODUCT($B$3:$K$3,B276:K276)</f>
        <v/>
      </c>
      <c r="N276" s="21">
        <f>N275*(1+M276)</f>
        <v/>
      </c>
      <c r="O276" s="21">
        <f>MAX(O275,N276)</f>
        <v/>
      </c>
      <c r="P276" s="20">
        <f>N276/O276-1</f>
        <v/>
      </c>
    </row>
    <row r="277">
      <c r="A277" s="18" t="inlineStr">
        <is>
          <t>2025-01-28</t>
        </is>
      </c>
      <c r="B277" s="19" t="n">
        <v>0.03654396926149195</v>
      </c>
      <c r="C277" s="19" t="n">
        <v>0.02908692667010104</v>
      </c>
      <c r="D277" s="19" t="n">
        <v>0.004852399575814292</v>
      </c>
      <c r="E277" s="19" t="n">
        <v>-0.01641682243283682</v>
      </c>
      <c r="F277" s="19" t="n">
        <v>-0.01933371077580681</v>
      </c>
      <c r="G277" s="19" t="n">
        <v>-0.02045268018522917</v>
      </c>
      <c r="H277" s="19" t="n">
        <v>0.01159627792359408</v>
      </c>
      <c r="I277" s="19" t="n">
        <v>-0.04456176535375334</v>
      </c>
      <c r="J277" s="19" t="n">
        <v>-0.01187411452625087</v>
      </c>
      <c r="K277" s="19" t="n">
        <v>-0.005905354877278279</v>
      </c>
      <c r="L277" s="19" t="n">
        <v>0.008592365698859128</v>
      </c>
      <c r="M277" s="20">
        <f>SUMPRODUCT($B$3:$K$3,B277:K277)</f>
        <v/>
      </c>
      <c r="N277" s="21">
        <f>N276*(1+M277)</f>
        <v/>
      </c>
      <c r="O277" s="21">
        <f>MAX(O276,N277)</f>
        <v/>
      </c>
      <c r="P277" s="20">
        <f>N277/O277-1</f>
        <v/>
      </c>
    </row>
    <row r="278">
      <c r="A278" s="18" t="inlineStr">
        <is>
          <t>2025-01-29</t>
        </is>
      </c>
      <c r="B278" s="19" t="n">
        <v>0.004616791173381651</v>
      </c>
      <c r="C278" s="19" t="n">
        <v>-0.01089012475337847</v>
      </c>
      <c r="D278" s="19" t="n">
        <v>-0.002096326990286501</v>
      </c>
      <c r="E278" s="19" t="n">
        <v>0.005120062087632826</v>
      </c>
      <c r="F278" s="19" t="n">
        <v>0.005831129997345919</v>
      </c>
      <c r="G278" s="19" t="n">
        <v>0.0002407276755242993</v>
      </c>
      <c r="H278" s="19" t="n">
        <v>-0.004534900692607535</v>
      </c>
      <c r="I278" s="19" t="n">
        <v>0.004961665246860925</v>
      </c>
      <c r="J278" s="19" t="n">
        <v>0.007532929863748539</v>
      </c>
      <c r="K278" s="19" t="n">
        <v>-0.002970373853627861</v>
      </c>
      <c r="L278" s="19" t="n">
        <v>-0.004483186352533419</v>
      </c>
      <c r="M278" s="20">
        <f>SUMPRODUCT($B$3:$K$3,B278:K278)</f>
        <v/>
      </c>
      <c r="N278" s="21">
        <f>N277*(1+M278)</f>
        <v/>
      </c>
      <c r="O278" s="21">
        <f>MAX(O277,N278)</f>
        <v/>
      </c>
      <c r="P278" s="20">
        <f>N278/O278-1</f>
        <v/>
      </c>
    </row>
    <row r="279">
      <c r="A279" s="18" t="inlineStr">
        <is>
          <t>2025-01-30</t>
        </is>
      </c>
      <c r="B279" s="19" t="n">
        <v>-0.007394784495044604</v>
      </c>
      <c r="C279" s="19" t="n">
        <v>-0.06180889648373022</v>
      </c>
      <c r="D279" s="19" t="n">
        <v>0.006189430009570618</v>
      </c>
      <c r="E279" s="19" t="n">
        <v>0.01137947438526754</v>
      </c>
      <c r="F279" s="19" t="n">
        <v>0.008281967160048476</v>
      </c>
      <c r="G279" s="19" t="n">
        <v>0.007098608538319118</v>
      </c>
      <c r="H279" s="19" t="n">
        <v>-0.01025017024294861</v>
      </c>
      <c r="I279" s="19" t="n">
        <v>0.005783485359617035</v>
      </c>
      <c r="J279" s="19" t="n">
        <v>-0.0464104932027023</v>
      </c>
      <c r="K279" s="19" t="n">
        <v>-0.02010923470419035</v>
      </c>
      <c r="L279" s="19" t="n">
        <v>0.005367277764742218</v>
      </c>
      <c r="M279" s="20">
        <f>SUMPRODUCT($B$3:$K$3,B279:K279)</f>
        <v/>
      </c>
      <c r="N279" s="21">
        <f>N278*(1+M279)</f>
        <v/>
      </c>
      <c r="O279" s="21">
        <f>MAX(O278,N279)</f>
        <v/>
      </c>
      <c r="P279" s="20">
        <f>N279/O279-1</f>
        <v/>
      </c>
    </row>
    <row r="280">
      <c r="A280" s="18" t="inlineStr">
        <is>
          <t>2025-01-31</t>
        </is>
      </c>
      <c r="B280" s="19" t="n">
        <v>-0.006692169331918407</v>
      </c>
      <c r="C280" s="19" t="n">
        <v>0.0001686333600623424</v>
      </c>
      <c r="D280" s="19" t="n">
        <v>-0.003466981209489406</v>
      </c>
      <c r="E280" s="19" t="n">
        <v>-0.004709919250911687</v>
      </c>
      <c r="F280" s="19" t="n">
        <v>-0.02500682218449202</v>
      </c>
      <c r="G280" s="19" t="n">
        <v>-0.008482223528305743</v>
      </c>
      <c r="H280" s="19" t="n">
        <v>0.01295598914950791</v>
      </c>
      <c r="I280" s="19" t="n">
        <v>0.003646547179163129</v>
      </c>
      <c r="J280" s="19" t="n">
        <v>-0.009440554633826759</v>
      </c>
      <c r="K280" s="19" t="n">
        <v>-0.002026872882566533</v>
      </c>
      <c r="L280" s="19" t="n">
        <v>-0.005321857757179305</v>
      </c>
      <c r="M280" s="20">
        <f>SUMPRODUCT($B$3:$K$3,B280:K280)</f>
        <v/>
      </c>
      <c r="N280" s="21">
        <f>N279*(1+M280)</f>
        <v/>
      </c>
      <c r="O280" s="21">
        <f>MAX(O279,N280)</f>
        <v/>
      </c>
      <c r="P280" s="20">
        <f>N280/O280-1</f>
        <v/>
      </c>
    </row>
    <row r="281">
      <c r="A281" s="18" t="inlineStr">
        <is>
          <t>2025-02-03</t>
        </is>
      </c>
      <c r="B281" s="19" t="n">
        <v>-0.03385599695318753</v>
      </c>
      <c r="C281" s="19" t="n">
        <v>-0.009974449868656698</v>
      </c>
      <c r="D281" s="19" t="n">
        <v>-0.001833217443656832</v>
      </c>
      <c r="E281" s="19" t="n">
        <v>-0.001840162915644816</v>
      </c>
      <c r="F281" s="19" t="n">
        <v>0.00243363760852211</v>
      </c>
      <c r="G281" s="19" t="n">
        <v>0.01668774533188744</v>
      </c>
      <c r="H281" s="19" t="n">
        <v>-0.001093884697272784</v>
      </c>
      <c r="I281" s="19" t="n">
        <v>-0.00712673315243606</v>
      </c>
      <c r="J281" s="19" t="n">
        <v>-0.02662605293039755</v>
      </c>
      <c r="K281" s="19" t="n">
        <v>0.01497834683035637</v>
      </c>
      <c r="L281" s="19" t="n">
        <v>-0.006729614419163421</v>
      </c>
      <c r="M281" s="20">
        <f>SUMPRODUCT($B$3:$K$3,B281:K281)</f>
        <v/>
      </c>
      <c r="N281" s="21">
        <f>N280*(1+M281)</f>
        <v/>
      </c>
      <c r="O281" s="21">
        <f>MAX(O280,N281)</f>
        <v/>
      </c>
      <c r="P281" s="20">
        <f>N281/O281-1</f>
        <v/>
      </c>
    </row>
    <row r="282">
      <c r="A282" s="18" t="inlineStr">
        <is>
          <t>2025-02-04</t>
        </is>
      </c>
      <c r="B282" s="19" t="n">
        <v>0.02100800373274292</v>
      </c>
      <c r="C282" s="19" t="n">
        <v>0.003528642665903581</v>
      </c>
      <c r="D282" s="19" t="n">
        <v>0.004235198284283204</v>
      </c>
      <c r="E282" s="19" t="n">
        <v>0.0106669910055921</v>
      </c>
      <c r="F282" s="19" t="n">
        <v>0.02679987535887807</v>
      </c>
      <c r="G282" s="19" t="n">
        <v>-0.003733203178852174</v>
      </c>
      <c r="H282" s="19" t="n">
        <v>0.01954342273369347</v>
      </c>
      <c r="I282" s="19" t="n">
        <v>-0.01618580432592243</v>
      </c>
      <c r="J282" s="19" t="n">
        <v>0.001106276020677033</v>
      </c>
      <c r="K282" s="19" t="n">
        <v>-0.004251991177126047</v>
      </c>
      <c r="L282" s="19" t="n">
        <v>0.006708265813236913</v>
      </c>
      <c r="M282" s="20">
        <f>SUMPRODUCT($B$3:$K$3,B282:K282)</f>
        <v/>
      </c>
      <c r="N282" s="21">
        <f>N281*(1+M282)</f>
        <v/>
      </c>
      <c r="O282" s="21">
        <f>MAX(O281,N282)</f>
        <v/>
      </c>
      <c r="P282" s="20">
        <f>N282/O282-1</f>
        <v/>
      </c>
    </row>
    <row r="283">
      <c r="A283" s="18" t="inlineStr">
        <is>
          <t>2025-02-05</t>
        </is>
      </c>
      <c r="B283" s="19" t="n">
        <v>-0.001417521425726376</v>
      </c>
      <c r="C283" s="19" t="n">
        <v>0.002231070245251932</v>
      </c>
      <c r="D283" s="19" t="n">
        <v>0.009292881071260251</v>
      </c>
      <c r="E283" s="19" t="n">
        <v>0.00781815654947593</v>
      </c>
      <c r="F283" s="19" t="n">
        <v>-0.0007274178186255087</v>
      </c>
      <c r="G283" s="19" t="n">
        <v>0.005234143196314323</v>
      </c>
      <c r="H283" s="19" t="n">
        <v>-0.02433280777102653</v>
      </c>
      <c r="I283" s="19" t="n">
        <v>-0.01001453353471959</v>
      </c>
      <c r="J283" s="19" t="n">
        <v>-0.008564679606546055</v>
      </c>
      <c r="K283" s="19" t="n">
        <v>0.008038037196928638</v>
      </c>
      <c r="L283" s="19" t="n">
        <v>0.004054563172681824</v>
      </c>
      <c r="M283" s="20">
        <f>SUMPRODUCT($B$3:$K$3,B283:K283)</f>
        <v/>
      </c>
      <c r="N283" s="21">
        <f>N282*(1+M283)</f>
        <v/>
      </c>
      <c r="O283" s="21">
        <f>MAX(O282,N283)</f>
        <v/>
      </c>
      <c r="P283" s="20">
        <f>N283/O283-1</f>
        <v/>
      </c>
    </row>
    <row r="284">
      <c r="A284" s="18" t="inlineStr">
        <is>
          <t>2025-02-06</t>
        </is>
      </c>
      <c r="B284" s="19" t="n">
        <v>0.003226164746826354</v>
      </c>
      <c r="C284" s="19" t="n">
        <v>0.006121597898967712</v>
      </c>
      <c r="D284" s="19" t="n">
        <v>0.02392516848845316</v>
      </c>
      <c r="E284" s="19" t="n">
        <v>-0.007628180926552153</v>
      </c>
      <c r="F284" s="19" t="n">
        <v>-0.01319622997584935</v>
      </c>
      <c r="G284" s="19" t="n">
        <v>-0.0007690754823858059</v>
      </c>
      <c r="H284" s="19" t="n">
        <v>0.01126308880354276</v>
      </c>
      <c r="I284" s="19" t="n">
        <v>0.001011734916855023</v>
      </c>
      <c r="J284" s="19" t="n">
        <v>0.01839210683403669</v>
      </c>
      <c r="K284" s="19" t="n">
        <v>-0.004734561037356921</v>
      </c>
      <c r="L284" s="19" t="n">
        <v>0.003475607966170857</v>
      </c>
      <c r="M284" s="20">
        <f>SUMPRODUCT($B$3:$K$3,B284:K284)</f>
        <v/>
      </c>
      <c r="N284" s="21">
        <f>N283*(1+M284)</f>
        <v/>
      </c>
      <c r="O284" s="21">
        <f>MAX(O283,N284)</f>
        <v/>
      </c>
      <c r="P284" s="20">
        <f>N284/O284-1</f>
        <v/>
      </c>
    </row>
    <row r="285">
      <c r="A285" s="18" t="inlineStr">
        <is>
          <t>2025-02-07</t>
        </is>
      </c>
      <c r="B285" s="19" t="n">
        <v>-0.02396873058174376</v>
      </c>
      <c r="C285" s="19" t="n">
        <v>-0.01459777223302849</v>
      </c>
      <c r="D285" s="19" t="n">
        <v>-0.003972765576284343</v>
      </c>
      <c r="E285" s="19" t="n">
        <v>-0.002540621792410325</v>
      </c>
      <c r="F285" s="19" t="n">
        <v>0.004242378154494464</v>
      </c>
      <c r="G285" s="19" t="n">
        <v>-0.005388519969514838</v>
      </c>
      <c r="H285" s="19" t="n">
        <v>-0.04053095448794497</v>
      </c>
      <c r="I285" s="19" t="n">
        <v>-0.01443639353603676</v>
      </c>
      <c r="J285" s="19" t="n">
        <v>-0.00429613505897064</v>
      </c>
      <c r="K285" s="19" t="n">
        <v>-0.001502187068064598</v>
      </c>
      <c r="L285" s="19" t="n">
        <v>-0.009153661942064684</v>
      </c>
      <c r="M285" s="20">
        <f>SUMPRODUCT($B$3:$K$3,B285:K285)</f>
        <v/>
      </c>
      <c r="N285" s="21">
        <f>N284*(1+M285)</f>
        <v/>
      </c>
      <c r="O285" s="21">
        <f>MAX(O284,N285)</f>
        <v/>
      </c>
      <c r="P285" s="20">
        <f>N285/O285-1</f>
        <v/>
      </c>
    </row>
    <row r="286">
      <c r="A286" s="18" t="inlineStr">
        <is>
          <t>2025-02-10</t>
        </is>
      </c>
      <c r="B286" s="19" t="n">
        <v>0.001187267314275431</v>
      </c>
      <c r="C286" s="19" t="n">
        <v>0.006028083539370899</v>
      </c>
      <c r="D286" s="19" t="n">
        <v>-0.01725859666320195</v>
      </c>
      <c r="E286" s="19" t="n">
        <v>0.007314543965686537</v>
      </c>
      <c r="F286" s="19" t="n">
        <v>0.01910174490092209</v>
      </c>
      <c r="G286" s="19" t="n">
        <v>-0.002619564155684206</v>
      </c>
      <c r="H286" s="19" t="n">
        <v>0.01741219986663611</v>
      </c>
      <c r="I286" s="19" t="n">
        <v>0.02094638426028461</v>
      </c>
      <c r="J286" s="19" t="n">
        <v>-0.001813752774223132</v>
      </c>
      <c r="K286" s="19" t="n">
        <v>0.001755240954721904</v>
      </c>
      <c r="L286" s="19" t="n">
        <v>0.006791307780734446</v>
      </c>
      <c r="M286" s="20">
        <f>SUMPRODUCT($B$3:$K$3,B286:K286)</f>
        <v/>
      </c>
      <c r="N286" s="21">
        <f>N285*(1+M286)</f>
        <v/>
      </c>
      <c r="O286" s="21">
        <f>MAX(O285,N286)</f>
        <v/>
      </c>
      <c r="P286" s="20">
        <f>N286/O286-1</f>
        <v/>
      </c>
    </row>
    <row r="287">
      <c r="A287" s="18" t="inlineStr">
        <is>
          <t>2025-02-11</t>
        </is>
      </c>
      <c r="B287" s="19" t="n">
        <v>0.02183177643205658</v>
      </c>
      <c r="C287" s="19" t="n">
        <v>-0.001892198994609795</v>
      </c>
      <c r="D287" s="19" t="n">
        <v>0.01457334958730105</v>
      </c>
      <c r="E287" s="19" t="n">
        <v>0.01225356586318838</v>
      </c>
      <c r="F287" s="19" t="n">
        <v>0.006308029479833888</v>
      </c>
      <c r="G287" s="19" t="n">
        <v>0.0113412999293947</v>
      </c>
      <c r="H287" s="19" t="n">
        <v>-0.001629942883277447</v>
      </c>
      <c r="I287" s="19" t="n">
        <v>0.009038562503402403</v>
      </c>
      <c r="J287" s="19" t="n">
        <v>-0.002725529928291892</v>
      </c>
      <c r="K287" s="19" t="n">
        <v>0.01351693084138827</v>
      </c>
      <c r="L287" s="19" t="n">
        <v>0.0007605777098049771</v>
      </c>
      <c r="M287" s="20">
        <f>SUMPRODUCT($B$3:$K$3,B287:K287)</f>
        <v/>
      </c>
      <c r="N287" s="21">
        <f>N286*(1+M287)</f>
        <v/>
      </c>
      <c r="O287" s="21">
        <f>MAX(O286,N287)</f>
        <v/>
      </c>
      <c r="P287" s="20">
        <f>N287/O287-1</f>
        <v/>
      </c>
    </row>
    <row r="288">
      <c r="A288" s="18" t="inlineStr">
        <is>
          <t>2025-02-12</t>
        </is>
      </c>
      <c r="B288" s="19" t="n">
        <v>0.0182702529892842</v>
      </c>
      <c r="C288" s="19" t="n">
        <v>-0.005833084191194216</v>
      </c>
      <c r="D288" s="19" t="n">
        <v>0.001672752869373184</v>
      </c>
      <c r="E288" s="19" t="n">
        <v>-0.00557237221784368</v>
      </c>
      <c r="F288" s="19" t="n">
        <v>-0.03008674676023615</v>
      </c>
      <c r="G288" s="19" t="n">
        <v>0.0008852311232798726</v>
      </c>
      <c r="H288" s="19" t="n">
        <v>-0.01645472556041938</v>
      </c>
      <c r="I288" s="19" t="n">
        <v>-0.01492955975561661</v>
      </c>
      <c r="J288" s="19" t="n">
        <v>-0.02813136061174004</v>
      </c>
      <c r="K288" s="19" t="n">
        <v>0.000987750644973362</v>
      </c>
      <c r="L288" s="19" t="n">
        <v>-0.003221567869451158</v>
      </c>
      <c r="M288" s="20">
        <f>SUMPRODUCT($B$3:$K$3,B288:K288)</f>
        <v/>
      </c>
      <c r="N288" s="21">
        <f>N287*(1+M288)</f>
        <v/>
      </c>
      <c r="O288" s="21">
        <f>MAX(O287,N288)</f>
        <v/>
      </c>
      <c r="P288" s="20">
        <f>N288/O288-1</f>
        <v/>
      </c>
    </row>
    <row r="289">
      <c r="A289" s="18" t="inlineStr">
        <is>
          <t>2025-02-13</t>
        </is>
      </c>
      <c r="B289" s="19" t="n">
        <v>0.01967318518220873</v>
      </c>
      <c r="C289" s="19" t="n">
        <v>0.003667086844246548</v>
      </c>
      <c r="D289" s="19" t="n">
        <v>0.003158528111516734</v>
      </c>
      <c r="E289" s="19" t="n">
        <v>0.01281732372847944</v>
      </c>
      <c r="F289" s="19" t="n">
        <v>0.007265942957632721</v>
      </c>
      <c r="G289" s="19" t="n">
        <v>0.008491547115234921</v>
      </c>
      <c r="H289" s="19" t="n">
        <v>0.006290143220533118</v>
      </c>
      <c r="I289" s="19" t="n">
        <v>-0.00981522494127951</v>
      </c>
      <c r="J289" s="19" t="n">
        <v>0.004715420791498337</v>
      </c>
      <c r="K289" s="19" t="n">
        <v>0.01258328809528786</v>
      </c>
      <c r="L289" s="19" t="n">
        <v>0.01055762225958867</v>
      </c>
      <c r="M289" s="20">
        <f>SUMPRODUCT($B$3:$K$3,B289:K289)</f>
        <v/>
      </c>
      <c r="N289" s="21">
        <f>N288*(1+M289)</f>
        <v/>
      </c>
      <c r="O289" s="21">
        <f>MAX(O288,N289)</f>
        <v/>
      </c>
      <c r="P289" s="20">
        <f>N289/O289-1</f>
        <v/>
      </c>
    </row>
    <row r="290">
      <c r="A290" s="18" t="inlineStr">
        <is>
          <t>2025-02-14</t>
        </is>
      </c>
      <c r="B290" s="19" t="n">
        <v>0.01271059985780698</v>
      </c>
      <c r="C290" s="19" t="n">
        <v>-0.005139685534411242</v>
      </c>
      <c r="D290" s="19" t="n">
        <v>0.0009770405707392182</v>
      </c>
      <c r="E290" s="19" t="n">
        <v>-0.006995214789807247</v>
      </c>
      <c r="F290" s="19" t="n">
        <v>0.001017372314486842</v>
      </c>
      <c r="G290" s="19" t="n">
        <v>-0.04753829749756466</v>
      </c>
      <c r="H290" s="19" t="n">
        <v>-0.007336035409240549</v>
      </c>
      <c r="I290" s="19" t="n">
        <v>-0.007871819640373423</v>
      </c>
      <c r="J290" s="19" t="n">
        <v>-0.001074462781778696</v>
      </c>
      <c r="K290" s="19" t="n">
        <v>-0.001218218612108357</v>
      </c>
      <c r="L290" s="19" t="n">
        <v>-4.929908540496353e-05</v>
      </c>
      <c r="M290" s="20">
        <f>SUMPRODUCT($B$3:$K$3,B290:K290)</f>
        <v/>
      </c>
      <c r="N290" s="21">
        <f>N289*(1+M290)</f>
        <v/>
      </c>
      <c r="O290" s="21">
        <f>MAX(O289,N290)</f>
        <v/>
      </c>
      <c r="P290" s="20">
        <f>N290/O290-1</f>
        <v/>
      </c>
    </row>
    <row r="291">
      <c r="A291" s="18" t="inlineStr">
        <is>
          <t>2025-02-18</t>
        </is>
      </c>
      <c r="B291" s="19" t="n">
        <v>-0.0005313797105344076</v>
      </c>
      <c r="C291" s="19" t="n">
        <v>0.002962805856075112</v>
      </c>
      <c r="D291" s="19" t="n">
        <v>0.01214799596377958</v>
      </c>
      <c r="E291" s="19" t="n">
        <v>0.0005163566667671926</v>
      </c>
      <c r="F291" s="19" t="n">
        <v>0.01755361153239998</v>
      </c>
      <c r="G291" s="19" t="n">
        <v>0.0155934506999047</v>
      </c>
      <c r="H291" s="19" t="n">
        <v>-0.008877028355405603</v>
      </c>
      <c r="I291" s="19" t="n">
        <v>0.00646513692483186</v>
      </c>
      <c r="J291" s="19" t="n">
        <v>0.001924564320896049</v>
      </c>
      <c r="K291" s="19" t="n">
        <v>0.005123128356189</v>
      </c>
      <c r="L291" s="19" t="n">
        <v>0.002935940999048814</v>
      </c>
      <c r="M291" s="20">
        <f>SUMPRODUCT($B$3:$K$3,B291:K291)</f>
        <v/>
      </c>
      <c r="N291" s="21">
        <f>N290*(1+M291)</f>
        <v/>
      </c>
      <c r="O291" s="21">
        <f>MAX(O290,N291)</f>
        <v/>
      </c>
      <c r="P291" s="20">
        <f>N291/O291-1</f>
        <v/>
      </c>
    </row>
    <row r="292">
      <c r="A292" s="18" t="inlineStr">
        <is>
          <t>2025-02-19</t>
        </is>
      </c>
      <c r="B292" s="19" t="n">
        <v>0.001636120475941416</v>
      </c>
      <c r="C292" s="19" t="n">
        <v>0.01252312078985618</v>
      </c>
      <c r="D292" s="19" t="n">
        <v>-0.002500335272484944</v>
      </c>
      <c r="E292" s="19" t="n">
        <v>0.01871097937367772</v>
      </c>
      <c r="F292" s="19" t="n">
        <v>0.001452649844446929</v>
      </c>
      <c r="G292" s="19" t="n">
        <v>0.006407532125678905</v>
      </c>
      <c r="H292" s="19" t="n">
        <v>-8.819331220022431e-05</v>
      </c>
      <c r="I292" s="19" t="n">
        <v>0.008175062930462884</v>
      </c>
      <c r="J292" s="19" t="n">
        <v>-0.002824763847865008</v>
      </c>
      <c r="K292" s="19" t="n">
        <v>0.01966019486883264</v>
      </c>
      <c r="L292" s="19" t="n">
        <v>0.002354965415929833</v>
      </c>
      <c r="M292" s="20">
        <f>SUMPRODUCT($B$3:$K$3,B292:K292)</f>
        <v/>
      </c>
      <c r="N292" s="21">
        <f>N291*(1+M292)</f>
        <v/>
      </c>
      <c r="O292" s="21">
        <f>MAX(O291,N292)</f>
        <v/>
      </c>
      <c r="P292" s="20">
        <f>N292/O292-1</f>
        <v/>
      </c>
    </row>
    <row r="293">
      <c r="A293" s="18" t="inlineStr">
        <is>
          <t>2025-02-20</t>
        </is>
      </c>
      <c r="B293" s="19" t="n">
        <v>0.003920450651821339</v>
      </c>
      <c r="C293" s="19" t="n">
        <v>0.005290675752735341</v>
      </c>
      <c r="D293" s="19" t="n">
        <v>-0.04458388155764959</v>
      </c>
      <c r="E293" s="19" t="n">
        <v>0.01133700223035339</v>
      </c>
      <c r="F293" s="19" t="n">
        <v>0.01541245132293856</v>
      </c>
      <c r="G293" s="19" t="n">
        <v>0.004324621197783873</v>
      </c>
      <c r="H293" s="19" t="n">
        <v>-0.01654679397787184</v>
      </c>
      <c r="I293" s="19" t="n">
        <v>0.01563865595911418</v>
      </c>
      <c r="J293" s="19" t="n">
        <v>-0.01090651318831448</v>
      </c>
      <c r="K293" s="19" t="n">
        <v>0.01142584767386046</v>
      </c>
      <c r="L293" s="19" t="n">
        <v>-0.004160320267696638</v>
      </c>
      <c r="M293" s="20">
        <f>SUMPRODUCT($B$3:$K$3,B293:K293)</f>
        <v/>
      </c>
      <c r="N293" s="21">
        <f>N292*(1+M293)</f>
        <v/>
      </c>
      <c r="O293" s="21">
        <f>MAX(O292,N293)</f>
        <v/>
      </c>
      <c r="P293" s="20">
        <f>N293/O293-1</f>
        <v/>
      </c>
    </row>
    <row r="294">
      <c r="A294" s="18" t="inlineStr">
        <is>
          <t>2025-02-21</t>
        </is>
      </c>
      <c r="B294" s="19" t="n">
        <v>-0.001138942134657372</v>
      </c>
      <c r="C294" s="19" t="n">
        <v>-0.01903263467689009</v>
      </c>
      <c r="D294" s="19" t="n">
        <v>-0.009594934494975726</v>
      </c>
      <c r="E294" s="19" t="n">
        <v>0.01640795276587181</v>
      </c>
      <c r="F294" s="19" t="n">
        <v>-0.01169630350429307</v>
      </c>
      <c r="G294" s="19" t="n">
        <v>0.01806102403888743</v>
      </c>
      <c r="H294" s="19" t="n">
        <v>-0.02826634473141854</v>
      </c>
      <c r="I294" s="19" t="n">
        <v>0.02053051049081622</v>
      </c>
      <c r="J294" s="19" t="n">
        <v>-0.02609184907213669</v>
      </c>
      <c r="K294" s="19" t="n">
        <v>0.006354502597197165</v>
      </c>
      <c r="L294" s="19" t="n">
        <v>-0.0171040623129356</v>
      </c>
      <c r="M294" s="20">
        <f>SUMPRODUCT($B$3:$K$3,B294:K294)</f>
        <v/>
      </c>
      <c r="N294" s="21">
        <f>N293*(1+M294)</f>
        <v/>
      </c>
      <c r="O294" s="21">
        <f>MAX(O293,N294)</f>
        <v/>
      </c>
      <c r="P294" s="20">
        <f>N294/O294-1</f>
        <v/>
      </c>
    </row>
    <row r="295">
      <c r="A295" s="18" t="inlineStr">
        <is>
          <t>2025-02-24</t>
        </is>
      </c>
      <c r="B295" s="19" t="n">
        <v>0.006312371084388646</v>
      </c>
      <c r="C295" s="19" t="n">
        <v>-0.010313347939365</v>
      </c>
      <c r="D295" s="19" t="n">
        <v>-0.01097513739671818</v>
      </c>
      <c r="E295" s="19" t="n">
        <v>0.008872388217577853</v>
      </c>
      <c r="F295" s="19" t="n">
        <v>0.005239762668298287</v>
      </c>
      <c r="G295" s="19" t="n">
        <v>0.001821035918905256</v>
      </c>
      <c r="H295" s="19" t="n">
        <v>-0.01786866323976821</v>
      </c>
      <c r="I295" s="19" t="n">
        <v>-0.0108969587302129</v>
      </c>
      <c r="J295" s="19" t="n">
        <v>-0.003293790555943366</v>
      </c>
      <c r="K295" s="19" t="n">
        <v>0.01309626511078177</v>
      </c>
      <c r="L295" s="19" t="n">
        <v>-0.004550502622708619</v>
      </c>
      <c r="M295" s="20">
        <f>SUMPRODUCT($B$3:$K$3,B295:K295)</f>
        <v/>
      </c>
      <c r="N295" s="21">
        <f>N294*(1+M295)</f>
        <v/>
      </c>
      <c r="O295" s="21">
        <f>MAX(O294,N295)</f>
        <v/>
      </c>
      <c r="P295" s="20">
        <f>N295/O295-1</f>
        <v/>
      </c>
    </row>
    <row r="296">
      <c r="A296" s="18" t="inlineStr">
        <is>
          <t>2025-02-25</t>
        </is>
      </c>
      <c r="B296" s="19" t="n">
        <v>-0.0002429954737357409</v>
      </c>
      <c r="C296" s="19" t="n">
        <v>-0.01509896811298783</v>
      </c>
      <c r="D296" s="19" t="n">
        <v>-0.01507618282916445</v>
      </c>
      <c r="E296" s="19" t="n">
        <v>0.01435192508799688</v>
      </c>
      <c r="F296" s="19" t="n">
        <v>-0.01384019559086902</v>
      </c>
      <c r="G296" s="19" t="n">
        <v>0.01237247925851714</v>
      </c>
      <c r="H296" s="19" t="n">
        <v>0.000423094048469963</v>
      </c>
      <c r="I296" s="19" t="n">
        <v>0.006779480498334545</v>
      </c>
      <c r="J296" s="19" t="n">
        <v>0.01014968850361986</v>
      </c>
      <c r="K296" s="19" t="n">
        <v>0.009002713042613353</v>
      </c>
      <c r="L296" s="19" t="n">
        <v>-0.004973339876223504</v>
      </c>
      <c r="M296" s="20">
        <f>SUMPRODUCT($B$3:$K$3,B296:K296)</f>
        <v/>
      </c>
      <c r="N296" s="21">
        <f>N295*(1+M296)</f>
        <v/>
      </c>
      <c r="O296" s="21">
        <f>MAX(O295,N296)</f>
        <v/>
      </c>
      <c r="P296" s="20">
        <f>N296/O296-1</f>
        <v/>
      </c>
    </row>
    <row r="297">
      <c r="A297" s="18" t="inlineStr">
        <is>
          <t>2025-02-26</t>
        </is>
      </c>
      <c r="B297" s="19" t="n">
        <v>-0.0270400189819936</v>
      </c>
      <c r="C297" s="19" t="n">
        <v>0.00459924898565256</v>
      </c>
      <c r="D297" s="19" t="n">
        <v>0.0054004061298909</v>
      </c>
      <c r="E297" s="19" t="n">
        <v>-0.01812258007374212</v>
      </c>
      <c r="F297" s="19" t="n">
        <v>-0.00246061539652187</v>
      </c>
      <c r="G297" s="19" t="n">
        <v>-0.007819136385087355</v>
      </c>
      <c r="H297" s="19" t="n">
        <v>0.007283848822975836</v>
      </c>
      <c r="I297" s="19" t="n">
        <v>-0.003787757462620944</v>
      </c>
      <c r="J297" s="19" t="n">
        <v>0.00064273834472095</v>
      </c>
      <c r="K297" s="19" t="n">
        <v>-0.01212517468239493</v>
      </c>
      <c r="L297" s="19" t="n">
        <v>0.0005051085821121681</v>
      </c>
      <c r="M297" s="20">
        <f>SUMPRODUCT($B$3:$K$3,B297:K297)</f>
        <v/>
      </c>
      <c r="N297" s="21">
        <f>N296*(1+M297)</f>
        <v/>
      </c>
      <c r="O297" s="21">
        <f>MAX(O296,N297)</f>
        <v/>
      </c>
      <c r="P297" s="20">
        <f>N297/O297-1</f>
        <v/>
      </c>
    </row>
    <row r="298">
      <c r="A298" s="18" t="inlineStr">
        <is>
          <t>2025-02-27</t>
        </is>
      </c>
      <c r="B298" s="19" t="n">
        <v>-0.01273082537314751</v>
      </c>
      <c r="C298" s="19" t="n">
        <v>-0.01801222349885589</v>
      </c>
      <c r="D298" s="19" t="n">
        <v>0.001004464136547645</v>
      </c>
      <c r="E298" s="19" t="n">
        <v>0.003985629067535079</v>
      </c>
      <c r="F298" s="19" t="n">
        <v>0.006303726100587825</v>
      </c>
      <c r="G298" s="19" t="n">
        <v>0.003911115553719036</v>
      </c>
      <c r="H298" s="19" t="n">
        <v>-0.02617215045770649</v>
      </c>
      <c r="I298" s="19" t="n">
        <v>-0.02295458047246846</v>
      </c>
      <c r="J298" s="19" t="n">
        <v>-0.007531144084504726</v>
      </c>
      <c r="K298" s="19" t="n">
        <v>0.002084254799247898</v>
      </c>
      <c r="L298" s="19" t="n">
        <v>-0.01596187272100169</v>
      </c>
      <c r="M298" s="20">
        <f>SUMPRODUCT($B$3:$K$3,B298:K298)</f>
        <v/>
      </c>
      <c r="N298" s="21">
        <f>N297*(1+M298)</f>
        <v/>
      </c>
      <c r="O298" s="21">
        <f>MAX(O297,N298)</f>
        <v/>
      </c>
      <c r="P298" s="20">
        <f>N298/O298-1</f>
        <v/>
      </c>
    </row>
    <row r="299">
      <c r="A299" s="18" t="inlineStr">
        <is>
          <t>2025-02-28</t>
        </is>
      </c>
      <c r="B299" s="19" t="n">
        <v>0.01913173277683411</v>
      </c>
      <c r="C299" s="19" t="n">
        <v>0.01136206498105663</v>
      </c>
      <c r="D299" s="19" t="n">
        <v>0.02161758062061114</v>
      </c>
      <c r="E299" s="19" t="n">
        <v>0.007878909223355324</v>
      </c>
      <c r="F299" s="19" t="n">
        <v>0.0107126108009612</v>
      </c>
      <c r="G299" s="19" t="n">
        <v>0.01087405424247834</v>
      </c>
      <c r="H299" s="19" t="n">
        <v>0.01695886362448484</v>
      </c>
      <c r="I299" s="19" t="n">
        <v>0.01972022546405272</v>
      </c>
      <c r="J299" s="19" t="n">
        <v>0.01161771781656795</v>
      </c>
      <c r="K299" s="19" t="n">
        <v>-0.003928888508562545</v>
      </c>
      <c r="L299" s="19" t="n">
        <v>0.01560541219092837</v>
      </c>
      <c r="M299" s="20">
        <f>SUMPRODUCT($B$3:$K$3,B299:K299)</f>
        <v/>
      </c>
      <c r="N299" s="21">
        <f>N298*(1+M299)</f>
        <v/>
      </c>
      <c r="O299" s="21">
        <f>MAX(O298,N299)</f>
        <v/>
      </c>
      <c r="P299" s="20">
        <f>N299/O299-1</f>
        <v/>
      </c>
    </row>
    <row r="300">
      <c r="A300" s="18" t="inlineStr">
        <is>
          <t>2025-03-03</t>
        </is>
      </c>
      <c r="B300" s="19" t="n">
        <v>-0.01575417131782864</v>
      </c>
      <c r="C300" s="19" t="n">
        <v>-0.02141102209349621</v>
      </c>
      <c r="D300" s="19" t="n">
        <v>-0.01522772256759031</v>
      </c>
      <c r="E300" s="19" t="n">
        <v>0.0136952666993464</v>
      </c>
      <c r="F300" s="19" t="n">
        <v>-0.03206676960491261</v>
      </c>
      <c r="G300" s="19" t="n">
        <v>0.01006658696491969</v>
      </c>
      <c r="H300" s="19" t="n">
        <v>-0.03420008737791658</v>
      </c>
      <c r="I300" s="19" t="n">
        <v>0.02066411372625709</v>
      </c>
      <c r="J300" s="19" t="n">
        <v>-0.0346271415966205</v>
      </c>
      <c r="K300" s="19" t="n">
        <v>0.01786537308236791</v>
      </c>
      <c r="L300" s="19" t="n">
        <v>-0.0175200157528479</v>
      </c>
      <c r="M300" s="20">
        <f>SUMPRODUCT($B$3:$K$3,B300:K300)</f>
        <v/>
      </c>
      <c r="N300" s="21">
        <f>N299*(1+M300)</f>
        <v/>
      </c>
      <c r="O300" s="21">
        <f>MAX(O299,N300)</f>
        <v/>
      </c>
      <c r="P300" s="20">
        <f>N300/O300-1</f>
        <v/>
      </c>
    </row>
    <row r="301">
      <c r="A301" s="18" t="inlineStr">
        <is>
          <t>2025-03-04</t>
        </is>
      </c>
      <c r="B301" s="19" t="n">
        <v>-0.008822464612909808</v>
      </c>
      <c r="C301" s="19" t="n">
        <v>0.0003087662186709306</v>
      </c>
      <c r="D301" s="19" t="n">
        <v>-0.03978973408440201</v>
      </c>
      <c r="E301" s="19" t="n">
        <v>-0.01111909014047829</v>
      </c>
      <c r="F301" s="19" t="n">
        <v>-0.002041582475754145</v>
      </c>
      <c r="G301" s="19" t="n">
        <v>-0.01372508752016943</v>
      </c>
      <c r="H301" s="19" t="n">
        <v>-0.005950644792113935</v>
      </c>
      <c r="I301" s="19" t="n">
        <v>-0.01075143722292426</v>
      </c>
      <c r="J301" s="19" t="n">
        <v>-0.01593181312299041</v>
      </c>
      <c r="K301" s="19" t="n">
        <v>-0.0227945749947368</v>
      </c>
      <c r="L301" s="19" t="n">
        <v>-0.01183683773323574</v>
      </c>
      <c r="M301" s="20">
        <f>SUMPRODUCT($B$3:$K$3,B301:K301)</f>
        <v/>
      </c>
      <c r="N301" s="21">
        <f>N300*(1+M301)</f>
        <v/>
      </c>
      <c r="O301" s="21">
        <f>MAX(O300,N301)</f>
        <v/>
      </c>
      <c r="P301" s="20">
        <f>N301/O301-1</f>
        <v/>
      </c>
    </row>
    <row r="302">
      <c r="A302" s="18" t="inlineStr">
        <is>
          <t>2025-03-05</t>
        </is>
      </c>
      <c r="B302" s="19" t="n">
        <v>-0.0008052117647072699</v>
      </c>
      <c r="C302" s="19" t="n">
        <v>0.03193444894495734</v>
      </c>
      <c r="D302" s="19" t="n">
        <v>0.005114930444020116</v>
      </c>
      <c r="E302" s="19" t="n">
        <v>-0.001813647220987646</v>
      </c>
      <c r="F302" s="19" t="n">
        <v>-0.01952751085656956</v>
      </c>
      <c r="G302" s="19" t="n">
        <v>0.008257321215501712</v>
      </c>
      <c r="H302" s="19" t="n">
        <v>0.02237486501624675</v>
      </c>
      <c r="I302" s="19" t="n">
        <v>-0.005222008511732046</v>
      </c>
      <c r="J302" s="19" t="n">
        <v>0.03592956530920688</v>
      </c>
      <c r="K302" s="19" t="n">
        <v>-0.0006997101144868845</v>
      </c>
      <c r="L302" s="19" t="n">
        <v>0.01074777304908214</v>
      </c>
      <c r="M302" s="20">
        <f>SUMPRODUCT($B$3:$K$3,B302:K302)</f>
        <v/>
      </c>
      <c r="N302" s="21">
        <f>N301*(1+M302)</f>
        <v/>
      </c>
      <c r="O302" s="21">
        <f>MAX(O301,N302)</f>
        <v/>
      </c>
      <c r="P302" s="20">
        <f>N302/O302-1</f>
        <v/>
      </c>
    </row>
    <row r="303">
      <c r="A303" s="18" t="inlineStr">
        <is>
          <t>2025-03-06</t>
        </is>
      </c>
      <c r="B303" s="19" t="n">
        <v>-0.001739301799308146</v>
      </c>
      <c r="C303" s="19" t="n">
        <v>-0.01029876917073835</v>
      </c>
      <c r="D303" s="19" t="n">
        <v>-0.01983868853664039</v>
      </c>
      <c r="E303" s="19" t="n">
        <v>0.00429995007872197</v>
      </c>
      <c r="F303" s="19" t="n">
        <v>0.02067513002915211</v>
      </c>
      <c r="G303" s="19" t="n">
        <v>0.0002864447908879075</v>
      </c>
      <c r="H303" s="19" t="n">
        <v>-0.03676331176651404</v>
      </c>
      <c r="I303" s="19" t="n">
        <v>-0.006668626818565948</v>
      </c>
      <c r="J303" s="19" t="n">
        <v>0.007444897437936859</v>
      </c>
      <c r="K303" s="19" t="n">
        <v>0.03244640017223599</v>
      </c>
      <c r="L303" s="19" t="n">
        <v>-0.01775104791980275</v>
      </c>
      <c r="M303" s="20">
        <f>SUMPRODUCT($B$3:$K$3,B303:K303)</f>
        <v/>
      </c>
      <c r="N303" s="21">
        <f>N302*(1+M303)</f>
        <v/>
      </c>
      <c r="O303" s="21">
        <f>MAX(O302,N303)</f>
        <v/>
      </c>
      <c r="P303" s="20">
        <f>N303/O303-1</f>
        <v/>
      </c>
    </row>
    <row r="304">
      <c r="A304" s="18" t="inlineStr">
        <is>
          <t>2025-03-07</t>
        </is>
      </c>
      <c r="B304" s="19" t="n">
        <v>0.01589269002671845</v>
      </c>
      <c r="C304" s="19" t="n">
        <v>-0.009020107679927558</v>
      </c>
      <c r="D304" s="19" t="n">
        <v>-0.01727913007462023</v>
      </c>
      <c r="E304" s="19" t="n">
        <v>0.005186216864429438</v>
      </c>
      <c r="F304" s="19" t="n">
        <v>0.01300876268816165</v>
      </c>
      <c r="G304" s="19" t="n">
        <v>0.007385662855998065</v>
      </c>
      <c r="H304" s="19" t="n">
        <v>-0.007224698407026442</v>
      </c>
      <c r="I304" s="19" t="n">
        <v>0.0402798062616907</v>
      </c>
      <c r="J304" s="19" t="n">
        <v>0.02724256920875834</v>
      </c>
      <c r="K304" s="19" t="n">
        <v>0.04137456031241293</v>
      </c>
      <c r="L304" s="19" t="n">
        <v>0.005604676906572958</v>
      </c>
      <c r="M304" s="20">
        <f>SUMPRODUCT($B$3:$K$3,B304:K304)</f>
        <v/>
      </c>
      <c r="N304" s="21">
        <f>N303*(1+M304)</f>
        <v/>
      </c>
      <c r="O304" s="21">
        <f>MAX(O303,N304)</f>
        <v/>
      </c>
      <c r="P304" s="20">
        <f>N304/O304-1</f>
        <v/>
      </c>
    </row>
    <row r="305">
      <c r="A305" s="18" t="inlineStr">
        <is>
          <t>2025-03-10</t>
        </is>
      </c>
      <c r="B305" s="19" t="n">
        <v>-0.04847952849466897</v>
      </c>
      <c r="C305" s="19" t="n">
        <v>-0.03343414627406616</v>
      </c>
      <c r="D305" s="19" t="n">
        <v>-0.04152219428651538</v>
      </c>
      <c r="E305" s="19" t="n">
        <v>0.006058992848994249</v>
      </c>
      <c r="F305" s="19" t="n">
        <v>0.02549989588062052</v>
      </c>
      <c r="G305" s="19" t="n">
        <v>0.001761835478030438</v>
      </c>
      <c r="H305" s="19" t="n">
        <v>-0.02363867861413893</v>
      </c>
      <c r="I305" s="19" t="n">
        <v>0.04572309219622417</v>
      </c>
      <c r="J305" s="19" t="n">
        <v>-0.01453043733417014</v>
      </c>
      <c r="K305" s="19" t="n">
        <v>0.009335556115240173</v>
      </c>
      <c r="L305" s="19" t="n">
        <v>-0.0266355236128536</v>
      </c>
      <c r="M305" s="20">
        <f>SUMPRODUCT($B$3:$K$3,B305:K305)</f>
        <v/>
      </c>
      <c r="N305" s="21">
        <f>N304*(1+M305)</f>
        <v/>
      </c>
      <c r="O305" s="21">
        <f>MAX(O304,N305)</f>
        <v/>
      </c>
      <c r="P305" s="20">
        <f>N305/O305-1</f>
        <v/>
      </c>
    </row>
    <row r="306">
      <c r="A306" s="18" t="inlineStr">
        <is>
          <t>2025-03-11</t>
        </is>
      </c>
      <c r="B306" s="19" t="n">
        <v>-0.02918938888684131</v>
      </c>
      <c r="C306" s="19" t="n">
        <v>0.0007628804605386286</v>
      </c>
      <c r="D306" s="19" t="n">
        <v>-0.01326325045468957</v>
      </c>
      <c r="E306" s="19" t="n">
        <v>-0.01097185720941662</v>
      </c>
      <c r="F306" s="19" t="n">
        <v>-0.02361362413766233</v>
      </c>
      <c r="G306" s="19" t="n">
        <v>-0.01781452386216809</v>
      </c>
      <c r="H306" s="19" t="n">
        <v>0.01053769467722065</v>
      </c>
      <c r="I306" s="19" t="n">
        <v>-0.02796753792783446</v>
      </c>
      <c r="J306" s="19" t="n">
        <v>-0.01575858403392227</v>
      </c>
      <c r="K306" s="19" t="n">
        <v>-0.06582050815126594</v>
      </c>
      <c r="L306" s="19" t="n">
        <v>-0.008312884821599753</v>
      </c>
      <c r="M306" s="20">
        <f>SUMPRODUCT($B$3:$K$3,B306:K306)</f>
        <v/>
      </c>
      <c r="N306" s="21">
        <f>N305*(1+M306)</f>
        <v/>
      </c>
      <c r="O306" s="21">
        <f>MAX(O305,N306)</f>
        <v/>
      </c>
      <c r="P306" s="20">
        <f>N306/O306-1</f>
        <v/>
      </c>
    </row>
    <row r="307">
      <c r="A307" s="18" t="inlineStr">
        <is>
          <t>2025-03-12</t>
        </is>
      </c>
      <c r="B307" s="19" t="n">
        <v>-0.01747875055745796</v>
      </c>
      <c r="C307" s="19" t="n">
        <v>0.007412226875350036</v>
      </c>
      <c r="D307" s="19" t="n">
        <v>-0.00541160389436246</v>
      </c>
      <c r="E307" s="19" t="n">
        <v>-0.01814799537115441</v>
      </c>
      <c r="F307" s="19" t="n">
        <v>-0.0002747804979248425</v>
      </c>
      <c r="G307" s="19" t="n">
        <v>-0.02743763911786345</v>
      </c>
      <c r="H307" s="19" t="n">
        <v>0.01169949180834529</v>
      </c>
      <c r="I307" s="19" t="n">
        <v>-0.01499383446909286</v>
      </c>
      <c r="J307" s="19" t="n">
        <v>-0.004826574097541059</v>
      </c>
      <c r="K307" s="19" t="n">
        <v>-0.01934148556095394</v>
      </c>
      <c r="L307" s="19" t="n">
        <v>0.005306679813861459</v>
      </c>
      <c r="M307" s="20">
        <f>SUMPRODUCT($B$3:$K$3,B307:K307)</f>
        <v/>
      </c>
      <c r="N307" s="21">
        <f>N306*(1+M307)</f>
        <v/>
      </c>
      <c r="O307" s="21">
        <f>MAX(O306,N307)</f>
        <v/>
      </c>
      <c r="P307" s="20">
        <f>N307/O307-1</f>
        <v/>
      </c>
    </row>
    <row r="308">
      <c r="A308" s="18" t="inlineStr">
        <is>
          <t>2025-03-13</t>
        </is>
      </c>
      <c r="B308" s="19" t="n">
        <v>-0.03364371171391456</v>
      </c>
      <c r="C308" s="19" t="n">
        <v>-0.01174114381294022</v>
      </c>
      <c r="D308" s="19" t="n">
        <v>-0.01189115281149933</v>
      </c>
      <c r="E308" s="19" t="n">
        <v>0.00085990733169794</v>
      </c>
      <c r="F308" s="19" t="n">
        <v>-0.004215167348188942</v>
      </c>
      <c r="G308" s="19" t="n">
        <v>0.001306670512798869</v>
      </c>
      <c r="H308" s="19" t="n">
        <v>-0.02513952443734702</v>
      </c>
      <c r="I308" s="19" t="n">
        <v>-0.002605770944522301</v>
      </c>
      <c r="J308" s="19" t="n">
        <v>-0.01425495835419632</v>
      </c>
      <c r="K308" s="19" t="n">
        <v>0.02629707820450999</v>
      </c>
      <c r="L308" s="19" t="n">
        <v>-0.01333057612787913</v>
      </c>
      <c r="M308" s="20">
        <f>SUMPRODUCT($B$3:$K$3,B308:K308)</f>
        <v/>
      </c>
      <c r="N308" s="21">
        <f>N307*(1+M308)</f>
        <v/>
      </c>
      <c r="O308" s="21">
        <f>MAX(O307,N308)</f>
        <v/>
      </c>
      <c r="P308" s="20">
        <f>N308/O308-1</f>
        <v/>
      </c>
    </row>
    <row r="309">
      <c r="A309" s="18" t="inlineStr">
        <is>
          <t>2025-03-14</t>
        </is>
      </c>
      <c r="B309" s="19" t="n">
        <v>0.01817071146483218</v>
      </c>
      <c r="C309" s="19" t="n">
        <v>0.02584677838439298</v>
      </c>
      <c r="D309" s="19" t="n">
        <v>0.03219509048293401</v>
      </c>
      <c r="E309" s="19" t="n">
        <v>-0.001104450734164097</v>
      </c>
      <c r="F309" s="19" t="n">
        <v>0.02972305333040959</v>
      </c>
      <c r="G309" s="19" t="n">
        <v>-0.003677500915363563</v>
      </c>
      <c r="H309" s="19" t="n">
        <v>0.02093969555611075</v>
      </c>
      <c r="I309" s="19" t="n">
        <v>0.01127472814918451</v>
      </c>
      <c r="J309" s="19" t="n">
        <v>0.01899121768682566</v>
      </c>
      <c r="K309" s="19" t="n">
        <v>-0.003202787332745594</v>
      </c>
      <c r="L309" s="19" t="n">
        <v>0.02065573359748996</v>
      </c>
      <c r="M309" s="20">
        <f>SUMPRODUCT($B$3:$K$3,B309:K309)</f>
        <v/>
      </c>
      <c r="N309" s="21">
        <f>N308*(1+M309)</f>
        <v/>
      </c>
      <c r="O309" s="21">
        <f>MAX(O308,N309)</f>
        <v/>
      </c>
      <c r="P309" s="20">
        <f>N309/O309-1</f>
        <v/>
      </c>
    </row>
    <row r="310">
      <c r="A310" s="18" t="inlineStr">
        <is>
          <t>2025-03-17</t>
        </is>
      </c>
      <c r="B310" s="19" t="n">
        <v>0.002388723917176483</v>
      </c>
      <c r="C310" s="19" t="n">
        <v>0.0003604405097945573</v>
      </c>
      <c r="D310" s="19" t="n">
        <v>0.006410156687007396</v>
      </c>
      <c r="E310" s="19" t="n">
        <v>0.0001841163747904329</v>
      </c>
      <c r="F310" s="19" t="n">
        <v>0.01662194962034258</v>
      </c>
      <c r="G310" s="19" t="n">
        <v>0.01065655751752859</v>
      </c>
      <c r="H310" s="19" t="n">
        <v>-0.01116439246854817</v>
      </c>
      <c r="I310" s="19" t="n">
        <v>-0.01957854982225016</v>
      </c>
      <c r="J310" s="19" t="n">
        <v>0.008832950919872351</v>
      </c>
      <c r="K310" s="19" t="n">
        <v>0.001836044650689983</v>
      </c>
      <c r="L310" s="19" t="n">
        <v>0.007711356827039273</v>
      </c>
      <c r="M310" s="20">
        <f>SUMPRODUCT($B$3:$K$3,B310:K310)</f>
        <v/>
      </c>
      <c r="N310" s="21">
        <f>N309*(1+M310)</f>
        <v/>
      </c>
      <c r="O310" s="21">
        <f>MAX(O309,N310)</f>
        <v/>
      </c>
      <c r="P310" s="20">
        <f>N310/O310-1</f>
        <v/>
      </c>
    </row>
    <row r="311">
      <c r="A311" s="18" t="inlineStr">
        <is>
          <t>2025-03-18</t>
        </is>
      </c>
      <c r="B311" s="19" t="n">
        <v>-0.006121400092173102</v>
      </c>
      <c r="C311" s="19" t="n">
        <v>-0.01332648933759317</v>
      </c>
      <c r="D311" s="19" t="n">
        <v>0.004445780530868637</v>
      </c>
      <c r="E311" s="19" t="n">
        <v>0.008658885620529855</v>
      </c>
      <c r="F311" s="19" t="n">
        <v>-0.001054959020873159</v>
      </c>
      <c r="G311" s="19" t="n">
        <v>-0.01207582947096331</v>
      </c>
      <c r="H311" s="19" t="n">
        <v>-0.01491773825993536</v>
      </c>
      <c r="I311" s="19" t="n">
        <v>-0.01955355228579414</v>
      </c>
      <c r="J311" s="19" t="n">
        <v>-0.01730685257431719</v>
      </c>
      <c r="K311" s="19" t="n">
        <v>0.01328769949141484</v>
      </c>
      <c r="L311" s="19" t="n">
        <v>-0.01080833503051415</v>
      </c>
      <c r="M311" s="20">
        <f>SUMPRODUCT($B$3:$K$3,B311:K311)</f>
        <v/>
      </c>
      <c r="N311" s="21">
        <f>N310*(1+M311)</f>
        <v/>
      </c>
      <c r="O311" s="21">
        <f>MAX(O310,N311)</f>
        <v/>
      </c>
      <c r="P311" s="20">
        <f>N311/O311-1</f>
        <v/>
      </c>
    </row>
    <row r="312">
      <c r="A312" s="18" t="inlineStr">
        <is>
          <t>2025-03-19</t>
        </is>
      </c>
      <c r="B312" s="19" t="n">
        <v>0.0119891938885095</v>
      </c>
      <c r="C312" s="19" t="n">
        <v>0.01121196956728121</v>
      </c>
      <c r="D312" s="19" t="n">
        <v>0.01761936945662379</v>
      </c>
      <c r="E312" s="19" t="n">
        <v>-0.007671076766937013</v>
      </c>
      <c r="F312" s="19" t="n">
        <v>0.01557567139068472</v>
      </c>
      <c r="G312" s="19" t="n">
        <v>0.005127977886016488</v>
      </c>
      <c r="H312" s="19" t="n">
        <v>0.01410634715587644</v>
      </c>
      <c r="I312" s="19" t="n">
        <v>-0.002828790348437527</v>
      </c>
      <c r="J312" s="19" t="n">
        <v>0.005672539370269458</v>
      </c>
      <c r="K312" s="19" t="n">
        <v>-0.00655667837581364</v>
      </c>
      <c r="L312" s="19" t="n">
        <v>0.0108907119452395</v>
      </c>
      <c r="M312" s="20">
        <f>SUMPRODUCT($B$3:$K$3,B312:K312)</f>
        <v/>
      </c>
      <c r="N312" s="21">
        <f>N311*(1+M312)</f>
        <v/>
      </c>
      <c r="O312" s="21">
        <f>MAX(O311,N312)</f>
        <v/>
      </c>
      <c r="P312" s="20">
        <f>N312/O312-1</f>
        <v/>
      </c>
    </row>
    <row r="313">
      <c r="A313" s="18" t="inlineStr">
        <is>
          <t>2025-03-20</t>
        </is>
      </c>
      <c r="B313" s="19" t="n">
        <v>-0.005296319417141704</v>
      </c>
      <c r="C313" s="19" t="n">
        <v>-0.0025270217208746</v>
      </c>
      <c r="D313" s="19" t="n">
        <v>-0.000418311662045312</v>
      </c>
      <c r="E313" s="19" t="n">
        <v>0.0001838157703037968</v>
      </c>
      <c r="F313" s="19" t="n">
        <v>0.004245699891598509</v>
      </c>
      <c r="G313" s="19" t="n">
        <v>-0.006050942636550261</v>
      </c>
      <c r="H313" s="19" t="n">
        <v>-0.003017266841301769</v>
      </c>
      <c r="I313" s="19" t="n">
        <v>0.009219903555298448</v>
      </c>
      <c r="J313" s="19" t="n">
        <v>-0.006998910243318446</v>
      </c>
      <c r="K313" s="19" t="n">
        <v>-0.00432422214610384</v>
      </c>
      <c r="L313" s="19" t="n">
        <v>-0.002891527659354964</v>
      </c>
      <c r="M313" s="20">
        <f>SUMPRODUCT($B$3:$K$3,B313:K313)</f>
        <v/>
      </c>
      <c r="N313" s="21">
        <f>N312*(1+M313)</f>
        <v/>
      </c>
      <c r="O313" s="21">
        <f>MAX(O312,N313)</f>
        <v/>
      </c>
      <c r="P313" s="20">
        <f>N313/O313-1</f>
        <v/>
      </c>
    </row>
    <row r="314">
      <c r="A314" s="18" t="inlineStr">
        <is>
          <t>2025-03-21</t>
        </is>
      </c>
      <c r="B314" s="19" t="n">
        <v>0.01947684422260609</v>
      </c>
      <c r="C314" s="19" t="n">
        <v>0.0114259876868632</v>
      </c>
      <c r="D314" s="19" t="n">
        <v>0.01096202348130171</v>
      </c>
      <c r="E314" s="19" t="n">
        <v>0.003742054103083703</v>
      </c>
      <c r="F314" s="19" t="n">
        <v>-0.003451140114701601</v>
      </c>
      <c r="G314" s="19" t="n">
        <v>-0.005132779639233309</v>
      </c>
      <c r="H314" s="19" t="n">
        <v>0.006463245885351521</v>
      </c>
      <c r="I314" s="19" t="n">
        <v>-0.00379493202203629</v>
      </c>
      <c r="J314" s="19" t="n">
        <v>-0.00139786373248274</v>
      </c>
      <c r="K314" s="19" t="n">
        <v>0.005485760911652537</v>
      </c>
      <c r="L314" s="19" t="n">
        <v>0.0003298306935137774</v>
      </c>
      <c r="M314" s="20">
        <f>SUMPRODUCT($B$3:$K$3,B314:K314)</f>
        <v/>
      </c>
      <c r="N314" s="21">
        <f>N313*(1+M314)</f>
        <v/>
      </c>
      <c r="O314" s="21">
        <f>MAX(O313,N314)</f>
        <v/>
      </c>
      <c r="P314" s="20">
        <f>N314/O314-1</f>
        <v/>
      </c>
    </row>
    <row r="315">
      <c r="A315" s="18" t="inlineStr">
        <is>
          <t>2025-03-24</t>
        </is>
      </c>
      <c r="B315" s="19" t="n">
        <v>0.0112703739729707</v>
      </c>
      <c r="C315" s="19" t="n">
        <v>0.004651496798071308</v>
      </c>
      <c r="D315" s="19" t="n">
        <v>0.02661089568166353</v>
      </c>
      <c r="E315" s="19" t="n">
        <v>-0.002078003705918596</v>
      </c>
      <c r="F315" s="19" t="n">
        <v>0.002597318797117554</v>
      </c>
      <c r="G315" s="19" t="n">
        <v>-0.006239190679000028</v>
      </c>
      <c r="H315" s="19" t="n">
        <v>0.03593082692897398</v>
      </c>
      <c r="I315" s="19" t="n">
        <v>-0.01142771521289554</v>
      </c>
      <c r="J315" s="19" t="n">
        <v>0.01754140804221649</v>
      </c>
      <c r="K315" s="19" t="n">
        <v>-0.009774947786566512</v>
      </c>
      <c r="L315" s="19" t="n">
        <v>0.01790851112775793</v>
      </c>
      <c r="M315" s="20">
        <f>SUMPRODUCT($B$3:$K$3,B315:K315)</f>
        <v/>
      </c>
      <c r="N315" s="21">
        <f>N314*(1+M315)</f>
        <v/>
      </c>
      <c r="O315" s="21">
        <f>MAX(O314,N315)</f>
        <v/>
      </c>
      <c r="P315" s="20">
        <f>N315/O315-1</f>
        <v/>
      </c>
    </row>
    <row r="316">
      <c r="A316" s="18" t="inlineStr">
        <is>
          <t>2025-03-25</t>
        </is>
      </c>
      <c r="B316" s="19" t="n">
        <v>0.01368188764408163</v>
      </c>
      <c r="C316" s="19" t="n">
        <v>0.005291652796317381</v>
      </c>
      <c r="D316" s="19" t="n">
        <v>0.01237600873670708</v>
      </c>
      <c r="E316" s="19" t="n">
        <v>-0.01390152390695354</v>
      </c>
      <c r="F316" s="19" t="n">
        <v>0.006821991131156002</v>
      </c>
      <c r="G316" s="19" t="n">
        <v>-0.01690298827924985</v>
      </c>
      <c r="H316" s="19" t="n">
        <v>0.01205358788371336</v>
      </c>
      <c r="I316" s="19" t="n">
        <v>-0.02112168964413863</v>
      </c>
      <c r="J316" s="19" t="n">
        <v>0.002780371383306335</v>
      </c>
      <c r="K316" s="19" t="n">
        <v>-0.001606956238841661</v>
      </c>
      <c r="L316" s="19" t="n">
        <v>0.002403846153846256</v>
      </c>
      <c r="M316" s="20">
        <f>SUMPRODUCT($B$3:$K$3,B316:K316)</f>
        <v/>
      </c>
      <c r="N316" s="21">
        <f>N315*(1+M316)</f>
        <v/>
      </c>
      <c r="O316" s="21">
        <f>MAX(O315,N316)</f>
        <v/>
      </c>
      <c r="P316" s="20">
        <f>N316/O316-1</f>
        <v/>
      </c>
    </row>
    <row r="317">
      <c r="A317" s="18" t="inlineStr">
        <is>
          <t>2025-03-26</t>
        </is>
      </c>
      <c r="B317" s="19" t="n">
        <v>-0.009921821255028829</v>
      </c>
      <c r="C317" s="19" t="n">
        <v>-0.01313386822469953</v>
      </c>
      <c r="D317" s="19" t="n">
        <v>-0.0003981645366115671</v>
      </c>
      <c r="E317" s="19" t="n">
        <v>0.004347219140286684</v>
      </c>
      <c r="F317" s="19" t="n">
        <v>0.01440955574423053</v>
      </c>
      <c r="G317" s="19" t="n">
        <v>0.02290439237903308</v>
      </c>
      <c r="H317" s="19" t="n">
        <v>-0.02226436090406259</v>
      </c>
      <c r="I317" s="19" t="n">
        <v>0.0166205749319086</v>
      </c>
      <c r="J317" s="19" t="n">
        <v>-0.004407201689320073</v>
      </c>
      <c r="K317" s="19" t="n">
        <v>0.01586564440000382</v>
      </c>
      <c r="L317" s="19" t="n">
        <v>-0.01193832937786277</v>
      </c>
      <c r="M317" s="20">
        <f>SUMPRODUCT($B$3:$K$3,B317:K317)</f>
        <v/>
      </c>
      <c r="N317" s="21">
        <f>N316*(1+M317)</f>
        <v/>
      </c>
      <c r="O317" s="21">
        <f>MAX(O316,N317)</f>
        <v/>
      </c>
      <c r="P317" s="20">
        <f>N317/O317-1</f>
        <v/>
      </c>
    </row>
    <row r="318">
      <c r="A318" s="18" t="inlineStr">
        <is>
          <t>2025-03-27</t>
        </is>
      </c>
      <c r="B318" s="19" t="n">
        <v>0.0104726885740587</v>
      </c>
      <c r="C318" s="19" t="n">
        <v>0.001564020404947852</v>
      </c>
      <c r="D318" s="19" t="n">
        <v>-0.01159226792166013</v>
      </c>
      <c r="E318" s="19" t="n">
        <v>0.008718852419486778</v>
      </c>
      <c r="F318" s="19" t="n">
        <v>-0.003213086773559026</v>
      </c>
      <c r="G318" s="19" t="n">
        <v>0.01278668394243199</v>
      </c>
      <c r="H318" s="19" t="n">
        <v>0.001143517734577104</v>
      </c>
      <c r="I318" s="19" t="n">
        <v>0.004302268155771616</v>
      </c>
      <c r="J318" s="19" t="n">
        <v>-0.005306317938635674</v>
      </c>
      <c r="K318" s="19" t="n">
        <v>0.0176551261733513</v>
      </c>
      <c r="L318" s="19" t="n">
        <v>-0.002655674108104966</v>
      </c>
      <c r="M318" s="20">
        <f>SUMPRODUCT($B$3:$K$3,B318:K318)</f>
        <v/>
      </c>
      <c r="N318" s="21">
        <f>N317*(1+M318)</f>
        <v/>
      </c>
      <c r="O318" s="21">
        <f>MAX(O317,N318)</f>
        <v/>
      </c>
      <c r="P318" s="20">
        <f>N318/O318-1</f>
        <v/>
      </c>
    </row>
    <row r="319">
      <c r="A319" s="18" t="inlineStr">
        <is>
          <t>2025-03-28</t>
        </is>
      </c>
      <c r="B319" s="19" t="n">
        <v>-0.02658040655799587</v>
      </c>
      <c r="C319" s="19" t="n">
        <v>-0.03016017993325548</v>
      </c>
      <c r="D319" s="19" t="n">
        <v>-0.0212396612993806</v>
      </c>
      <c r="E319" s="19" t="n">
        <v>0.003555386257617865</v>
      </c>
      <c r="F319" s="19" t="n">
        <v>-0.0013570182281748</v>
      </c>
      <c r="G319" s="19" t="n">
        <v>-0.004030488718215874</v>
      </c>
      <c r="H319" s="19" t="n">
        <v>-0.04290822091507429</v>
      </c>
      <c r="I319" s="19" t="n">
        <v>0.005997373110727899</v>
      </c>
      <c r="J319" s="19" t="n">
        <v>-0.02832301833964446</v>
      </c>
      <c r="K319" s="19" t="n">
        <v>-0.0006672771051141613</v>
      </c>
      <c r="L319" s="19" t="n">
        <v>-0.02013843519279468</v>
      </c>
      <c r="M319" s="20">
        <f>SUMPRODUCT($B$3:$K$3,B319:K319)</f>
        <v/>
      </c>
      <c r="N319" s="21">
        <f>N318*(1+M319)</f>
        <v/>
      </c>
      <c r="O319" s="21">
        <f>MAX(O318,N319)</f>
        <v/>
      </c>
      <c r="P319" s="20">
        <f>N319/O319-1</f>
        <v/>
      </c>
    </row>
    <row r="320">
      <c r="A320" s="18" t="inlineStr">
        <is>
          <t>2025-03-31</t>
        </is>
      </c>
      <c r="B320" s="19" t="n">
        <v>0.01941274551283922</v>
      </c>
      <c r="C320" s="19" t="n">
        <v>-0.009002080694970216</v>
      </c>
      <c r="D320" s="19" t="n">
        <v>0.01008847100877985</v>
      </c>
      <c r="E320" s="19" t="n">
        <v>0.01301085562916615</v>
      </c>
      <c r="F320" s="19" t="n">
        <v>0.01019268932664175</v>
      </c>
      <c r="G320" s="19" t="n">
        <v>0.01422346249565054</v>
      </c>
      <c r="H320" s="19" t="n">
        <v>-0.01276466738421178</v>
      </c>
      <c r="I320" s="19" t="n">
        <v>0.006245467952859851</v>
      </c>
      <c r="J320" s="19" t="n">
        <v>0.0003336252004388918</v>
      </c>
      <c r="K320" s="19" t="n">
        <v>0.009570535393702562</v>
      </c>
      <c r="L320" s="19" t="n">
        <v>0.006712832558287474</v>
      </c>
      <c r="M320" s="20">
        <f>SUMPRODUCT($B$3:$K$3,B320:K320)</f>
        <v/>
      </c>
      <c r="N320" s="21">
        <f>N319*(1+M320)</f>
        <v/>
      </c>
      <c r="O320" s="21">
        <f>MAX(O319,N320)</f>
        <v/>
      </c>
      <c r="P320" s="20">
        <f>N320/O320-1</f>
        <v/>
      </c>
    </row>
    <row r="321">
      <c r="A321" s="18" t="inlineStr">
        <is>
          <t>2025-04-01</t>
        </is>
      </c>
      <c r="B321" s="19" t="n">
        <v>0.004771946266791671</v>
      </c>
      <c r="C321" s="19" t="n">
        <v>0.0181144105697828</v>
      </c>
      <c r="D321" s="19" t="n">
        <v>-0.006685734154356804</v>
      </c>
      <c r="E321" s="19" t="n">
        <v>-0.07591650861580324</v>
      </c>
      <c r="F321" s="19" t="n">
        <v>0.0009249849758019568</v>
      </c>
      <c r="G321" s="19" t="n">
        <v>0.0008216340666535871</v>
      </c>
      <c r="H321" s="19" t="n">
        <v>0.01003891368261711</v>
      </c>
      <c r="I321" s="19" t="n">
        <v>0.0004231306947464208</v>
      </c>
      <c r="J321" s="19" t="n">
        <v>0.002334880001837902</v>
      </c>
      <c r="K321" s="19" t="n">
        <v>0.0004408975981238239</v>
      </c>
      <c r="L321" s="19" t="n">
        <v>0.002824468656816848</v>
      </c>
      <c r="M321" s="20">
        <f>SUMPRODUCT($B$3:$K$3,B321:K321)</f>
        <v/>
      </c>
      <c r="N321" s="21">
        <f>N320*(1+M321)</f>
        <v/>
      </c>
      <c r="O321" s="21">
        <f>MAX(O320,N321)</f>
        <v/>
      </c>
      <c r="P321" s="20">
        <f>N321/O321-1</f>
        <v/>
      </c>
    </row>
    <row r="322">
      <c r="A322" s="18" t="inlineStr">
        <is>
          <t>2025-04-02</t>
        </is>
      </c>
      <c r="B322" s="19" t="n">
        <v>0.003136426648675528</v>
      </c>
      <c r="C322" s="19" t="n">
        <v>-0.0001307934996842564</v>
      </c>
      <c r="D322" s="19" t="n">
        <v>0.008864922747930937</v>
      </c>
      <c r="E322" s="19" t="n">
        <v>0.0137682611304546</v>
      </c>
      <c r="F322" s="19" t="n">
        <v>-0.003108199675261547</v>
      </c>
      <c r="G322" s="19" t="n">
        <v>-0.006214903489903723</v>
      </c>
      <c r="H322" s="19" t="n">
        <v>0.01998228846583405</v>
      </c>
      <c r="I322" s="19" t="n">
        <v>-0.006203854189807956</v>
      </c>
      <c r="J322" s="19" t="n">
        <v>0.01237261324355377</v>
      </c>
      <c r="K322" s="19" t="n">
        <v>-0.01410324714785327</v>
      </c>
      <c r="L322" s="19" t="n">
        <v>0.006328306768138114</v>
      </c>
      <c r="M322" s="20">
        <f>SUMPRODUCT($B$3:$K$3,B322:K322)</f>
        <v/>
      </c>
      <c r="N322" s="21">
        <f>N321*(1+M322)</f>
        <v/>
      </c>
      <c r="O322" s="21">
        <f>MAX(O321,N322)</f>
        <v/>
      </c>
      <c r="P322" s="20">
        <f>N322/O322-1</f>
        <v/>
      </c>
    </row>
    <row r="323">
      <c r="A323" s="18" t="inlineStr">
        <is>
          <t>2025-04-03</t>
        </is>
      </c>
      <c r="B323" s="19" t="n">
        <v>-0.09245609953234402</v>
      </c>
      <c r="C323" s="19" t="n">
        <v>-0.02363018103735803</v>
      </c>
      <c r="D323" s="19" t="n">
        <v>-0.06968523207145039</v>
      </c>
      <c r="E323" s="19" t="n">
        <v>0.02870753251067804</v>
      </c>
      <c r="F323" s="19" t="n">
        <v>-0.05258278532153382</v>
      </c>
      <c r="G323" s="19" t="n">
        <v>0.01705016319550556</v>
      </c>
      <c r="H323" s="19" t="n">
        <v>-0.08979129298487265</v>
      </c>
      <c r="I323" s="19" t="n">
        <v>0.02355259393371822</v>
      </c>
      <c r="J323" s="19" t="n">
        <v>-0.08635646182754531</v>
      </c>
      <c r="K323" s="19" t="n">
        <v>0.01966927272162988</v>
      </c>
      <c r="L323" s="19" t="n">
        <v>-0.04928063077237765</v>
      </c>
      <c r="M323" s="20">
        <f>SUMPRODUCT($B$3:$K$3,B323:K323)</f>
        <v/>
      </c>
      <c r="N323" s="21">
        <f>N322*(1+M323)</f>
        <v/>
      </c>
      <c r="O323" s="21">
        <f>MAX(O322,N323)</f>
        <v/>
      </c>
      <c r="P323" s="20">
        <f>N323/O323-1</f>
        <v/>
      </c>
    </row>
    <row r="324">
      <c r="A324" s="18" t="inlineStr">
        <is>
          <t>2025-04-04</t>
        </is>
      </c>
      <c r="B324" s="19" t="n">
        <v>-0.07288752723206615</v>
      </c>
      <c r="C324" s="19" t="n">
        <v>-0.03556591912635743</v>
      </c>
      <c r="D324" s="19" t="n">
        <v>-0.0748383196351653</v>
      </c>
      <c r="E324" s="19" t="n">
        <v>-0.04117136016985423</v>
      </c>
      <c r="F324" s="19" t="n">
        <v>-0.07195595051545467</v>
      </c>
      <c r="G324" s="19" t="n">
        <v>-0.05011888737150072</v>
      </c>
      <c r="H324" s="19" t="n">
        <v>-0.0415335659997137</v>
      </c>
      <c r="I324" s="19" t="n">
        <v>-0.07249788701875171</v>
      </c>
      <c r="J324" s="19" t="n">
        <v>-0.05782294892560591</v>
      </c>
      <c r="K324" s="19" t="n">
        <v>-0.0567734654409231</v>
      </c>
      <c r="L324" s="19" t="n">
        <v>-0.05854310178888222</v>
      </c>
      <c r="M324" s="20">
        <f>SUMPRODUCT($B$3:$K$3,B324:K324)</f>
        <v/>
      </c>
      <c r="N324" s="21">
        <f>N323*(1+M324)</f>
        <v/>
      </c>
      <c r="O324" s="21">
        <f>MAX(O323,N324)</f>
        <v/>
      </c>
      <c r="P324" s="20">
        <f>N324/O324-1</f>
        <v/>
      </c>
    </row>
    <row r="325">
      <c r="A325" s="18" t="inlineStr">
        <is>
          <t>2025-04-07</t>
        </is>
      </c>
      <c r="B325" s="19" t="n">
        <v>-0.03673428006599078</v>
      </c>
      <c r="C325" s="19" t="n">
        <v>-0.005502288701894509</v>
      </c>
      <c r="D325" s="19" t="n">
        <v>0.01978318673602808</v>
      </c>
      <c r="E325" s="19" t="n">
        <v>-0.01709729992815734</v>
      </c>
      <c r="F325" s="19" t="n">
        <v>-0.01341754868281542</v>
      </c>
      <c r="G325" s="19" t="n">
        <v>-0.02149619528927438</v>
      </c>
      <c r="H325" s="19" t="n">
        <v>0.02491224857798802</v>
      </c>
      <c r="I325" s="19" t="n">
        <v>-0.02764907930542859</v>
      </c>
      <c r="J325" s="19" t="n">
        <v>-0.02783962576657817</v>
      </c>
      <c r="K325" s="19" t="n">
        <v>-0.01045770168375781</v>
      </c>
      <c r="L325" s="19" t="n">
        <v>-0.001781068120206841</v>
      </c>
      <c r="M325" s="20">
        <f>SUMPRODUCT($B$3:$K$3,B325:K325)</f>
        <v/>
      </c>
      <c r="N325" s="21">
        <f>N324*(1+M325)</f>
        <v/>
      </c>
      <c r="O325" s="21">
        <f>MAX(O324,N325)</f>
        <v/>
      </c>
      <c r="P325" s="20">
        <f>N325/O325-1</f>
        <v/>
      </c>
    </row>
    <row r="326">
      <c r="A326" s="18" t="inlineStr">
        <is>
          <t>2025-04-08</t>
        </is>
      </c>
      <c r="B326" s="19" t="n">
        <v>-0.04981816434315467</v>
      </c>
      <c r="C326" s="19" t="n">
        <v>-0.009221506575715854</v>
      </c>
      <c r="D326" s="19" t="n">
        <v>0.01133170650273918</v>
      </c>
      <c r="E326" s="19" t="n">
        <v>-0.004116322092731717</v>
      </c>
      <c r="F326" s="19" t="n">
        <v>-0.02108037699189225</v>
      </c>
      <c r="G326" s="19" t="n">
        <v>-0.01148348101876184</v>
      </c>
      <c r="H326" s="19" t="n">
        <v>-0.02624666774451567</v>
      </c>
      <c r="I326" s="19" t="n">
        <v>-0.01460185043907947</v>
      </c>
      <c r="J326" s="19" t="n">
        <v>-0.02185248901842507</v>
      </c>
      <c r="K326" s="19" t="n">
        <v>-0.009629051945218348</v>
      </c>
      <c r="L326" s="19" t="n">
        <v>-0.01566277406456251</v>
      </c>
      <c r="M326" s="20">
        <f>SUMPRODUCT($B$3:$K$3,B326:K326)</f>
        <v/>
      </c>
      <c r="N326" s="21">
        <f>N325*(1+M326)</f>
        <v/>
      </c>
      <c r="O326" s="21">
        <f>MAX(O325,N326)</f>
        <v/>
      </c>
      <c r="P326" s="20">
        <f>N326/O326-1</f>
        <v/>
      </c>
    </row>
    <row r="327">
      <c r="A327" s="18" t="inlineStr">
        <is>
          <t>2025-04-09</t>
        </is>
      </c>
      <c r="B327" s="19" t="n">
        <v>0.1532885035937399</v>
      </c>
      <c r="C327" s="19" t="n">
        <v>0.1013369104335409</v>
      </c>
      <c r="D327" s="19" t="n">
        <v>0.08055527115570427</v>
      </c>
      <c r="E327" s="19" t="n">
        <v>0.006466845067737426</v>
      </c>
      <c r="F327" s="19" t="n">
        <v>0.04991575338329546</v>
      </c>
      <c r="G327" s="19" t="n">
        <v>0.02481225609568627</v>
      </c>
      <c r="H327" s="19" t="n">
        <v>0.1197703152630625</v>
      </c>
      <c r="I327" s="19" t="n">
        <v>0.05412566583693379</v>
      </c>
      <c r="J327" s="19" t="n">
        <v>0.09881744903722045</v>
      </c>
      <c r="K327" s="19" t="n">
        <v>0.01707389498173151</v>
      </c>
      <c r="L327" s="19" t="n">
        <v>0.105019400801277</v>
      </c>
      <c r="M327" s="20">
        <f>SUMPRODUCT($B$3:$K$3,B327:K327)</f>
        <v/>
      </c>
      <c r="N327" s="21">
        <f>N326*(1+M327)</f>
        <v/>
      </c>
      <c r="O327" s="21">
        <f>MAX(O326,N327)</f>
        <v/>
      </c>
      <c r="P327" s="20">
        <f>N327/O327-1</f>
        <v/>
      </c>
    </row>
    <row r="328">
      <c r="A328" s="18" t="inlineStr">
        <is>
          <t>2025-04-10</t>
        </is>
      </c>
      <c r="B328" s="19" t="n">
        <v>-0.0423938293573709</v>
      </c>
      <c r="C328" s="19" t="n">
        <v>-0.02340653134142656</v>
      </c>
      <c r="D328" s="19" t="n">
        <v>-0.03085262909005604</v>
      </c>
      <c r="E328" s="19" t="n">
        <v>-0.01510263743327611</v>
      </c>
      <c r="F328" s="19" t="n">
        <v>-0.05548210693963973</v>
      </c>
      <c r="G328" s="19" t="n">
        <v>0.00763910559328207</v>
      </c>
      <c r="H328" s="19" t="n">
        <v>-0.05170070417193307</v>
      </c>
      <c r="I328" s="19" t="n">
        <v>-0.01272567651336087</v>
      </c>
      <c r="J328" s="19" t="n">
        <v>-0.03936749147593899</v>
      </c>
      <c r="K328" s="19" t="n">
        <v>0.01677235906592789</v>
      </c>
      <c r="L328" s="19" t="n">
        <v>-0.04381907290334708</v>
      </c>
      <c r="M328" s="20">
        <f>SUMPRODUCT($B$3:$K$3,B328:K328)</f>
        <v/>
      </c>
      <c r="N328" s="21">
        <f>N327*(1+M328)</f>
        <v/>
      </c>
      <c r="O328" s="21">
        <f>MAX(O327,N328)</f>
        <v/>
      </c>
      <c r="P328" s="20">
        <f>N328/O328-1</f>
        <v/>
      </c>
    </row>
    <row r="329">
      <c r="A329" s="18" t="inlineStr">
        <is>
          <t>2025-04-11</t>
        </is>
      </c>
      <c r="B329" s="19" t="n">
        <v>0.04059452671256714</v>
      </c>
      <c r="C329" s="19" t="n">
        <v>0.01861803893196123</v>
      </c>
      <c r="D329" s="19" t="n">
        <v>0.04002473018612873</v>
      </c>
      <c r="E329" s="19" t="n">
        <v>0.02044524198626996</v>
      </c>
      <c r="F329" s="19" t="n">
        <v>0.03212253397871212</v>
      </c>
      <c r="G329" s="19" t="n">
        <v>0.02048176957787873</v>
      </c>
      <c r="H329" s="19" t="n">
        <v>0.02014123094524845</v>
      </c>
      <c r="I329" s="19" t="n">
        <v>-0.01363912011867763</v>
      </c>
      <c r="J329" s="19" t="n">
        <v>0.01483608269510306</v>
      </c>
      <c r="K329" s="19" t="n">
        <v>0.01887232464292543</v>
      </c>
      <c r="L329" s="19" t="n">
        <v>0.01784284570513561</v>
      </c>
      <c r="M329" s="20">
        <f>SUMPRODUCT($B$3:$K$3,B329:K329)</f>
        <v/>
      </c>
      <c r="N329" s="21">
        <f>N328*(1+M329)</f>
        <v/>
      </c>
      <c r="O329" s="21">
        <f>MAX(O328,N329)</f>
        <v/>
      </c>
      <c r="P329" s="20">
        <f>N329/O329-1</f>
        <v/>
      </c>
    </row>
    <row r="330">
      <c r="A330" s="18" t="inlineStr">
        <is>
          <t>2025-04-14</t>
        </is>
      </c>
      <c r="B330" s="19" t="n">
        <v>0.02205395653826936</v>
      </c>
      <c r="C330" s="19" t="n">
        <v>-0.001647558679374606</v>
      </c>
      <c r="D330" s="19" t="n">
        <v>-0.00626592579273566</v>
      </c>
      <c r="E330" s="19" t="n">
        <v>0.0173334790405224</v>
      </c>
      <c r="F330" s="19" t="n">
        <v>0.002423850634420299</v>
      </c>
      <c r="G330" s="19" t="n">
        <v>0.01330056118178047</v>
      </c>
      <c r="H330" s="19" t="n">
        <v>-0.01487531818376908</v>
      </c>
      <c r="I330" s="19" t="n">
        <v>0.02856726422953537</v>
      </c>
      <c r="J330" s="19" t="n">
        <v>0.01591394098988519</v>
      </c>
      <c r="K330" s="19" t="n">
        <v>0.0130345959462761</v>
      </c>
      <c r="L330" s="19" t="n">
        <v>0.009701542055374324</v>
      </c>
      <c r="M330" s="20">
        <f>SUMPRODUCT($B$3:$K$3,B330:K330)</f>
        <v/>
      </c>
      <c r="N330" s="21">
        <f>N329*(1+M330)</f>
        <v/>
      </c>
      <c r="O330" s="21">
        <f>MAX(O329,N330)</f>
        <v/>
      </c>
      <c r="P330" s="20">
        <f>N330/O330-1</f>
        <v/>
      </c>
    </row>
    <row r="331">
      <c r="A331" s="18" t="inlineStr">
        <is>
          <t>2025-04-15</t>
        </is>
      </c>
      <c r="B331" s="19" t="n">
        <v>-0.001876324650635031</v>
      </c>
      <c r="C331" s="19" t="n">
        <v>-0.005363402227858804</v>
      </c>
      <c r="D331" s="19" t="n">
        <v>-0.006774030663412978</v>
      </c>
      <c r="E331" s="19" t="n">
        <v>-0.004793985059386663</v>
      </c>
      <c r="F331" s="19" t="n">
        <v>-0.002804784623493983</v>
      </c>
      <c r="G331" s="19" t="n">
        <v>-0.003902396706687683</v>
      </c>
      <c r="H331" s="19" t="n">
        <v>-0.01389193305034364</v>
      </c>
      <c r="I331" s="19" t="n">
        <v>-0.0004432516032975009</v>
      </c>
      <c r="J331" s="19" t="n">
        <v>-0.0157318415130534</v>
      </c>
      <c r="K331" s="19" t="n">
        <v>0.004063206008452003</v>
      </c>
      <c r="L331" s="19" t="n">
        <v>-0.00280107144608166</v>
      </c>
      <c r="M331" s="20">
        <f>SUMPRODUCT($B$3:$K$3,B331:K331)</f>
        <v/>
      </c>
      <c r="N331" s="21">
        <f>N330*(1+M331)</f>
        <v/>
      </c>
      <c r="O331" s="21">
        <f>MAX(O330,N331)</f>
        <v/>
      </c>
      <c r="P331" s="20">
        <f>N331/O331-1</f>
        <v/>
      </c>
    </row>
    <row r="332">
      <c r="A332" s="18" t="inlineStr">
        <is>
          <t>2025-04-16</t>
        </is>
      </c>
      <c r="B332" s="19" t="n">
        <v>-0.03893346299609834</v>
      </c>
      <c r="C332" s="19" t="n">
        <v>-0.03660602043793515</v>
      </c>
      <c r="D332" s="19" t="n">
        <v>-0.01509886674215088</v>
      </c>
      <c r="E332" s="19" t="n">
        <v>0.001887846345508093</v>
      </c>
      <c r="F332" s="19" t="n">
        <v>0.0105721902873257</v>
      </c>
      <c r="G332" s="19" t="n">
        <v>-0.01234635188661448</v>
      </c>
      <c r="H332" s="19" t="n">
        <v>-0.02928890591956745</v>
      </c>
      <c r="I332" s="19" t="n">
        <v>-0.02985520940227948</v>
      </c>
      <c r="J332" s="19" t="n">
        <v>-0.01121201829981555</v>
      </c>
      <c r="K332" s="19" t="n">
        <v>-0.01955929328279771</v>
      </c>
      <c r="L332" s="19" t="n">
        <v>-0.02222799290898014</v>
      </c>
      <c r="M332" s="20">
        <f>SUMPRODUCT($B$3:$K$3,B332:K332)</f>
        <v/>
      </c>
      <c r="N332" s="21">
        <f>N331*(1+M332)</f>
        <v/>
      </c>
      <c r="O332" s="21">
        <f>MAX(O331,N332)</f>
        <v/>
      </c>
      <c r="P332" s="20">
        <f>N332/O332-1</f>
        <v/>
      </c>
    </row>
    <row r="333">
      <c r="A333" s="18" t="inlineStr">
        <is>
          <t>2025-04-17</t>
        </is>
      </c>
      <c r="B333" s="19" t="n">
        <v>0.01394967079971798</v>
      </c>
      <c r="C333" s="19" t="n">
        <v>-0.01030648338416573</v>
      </c>
      <c r="D333" s="19" t="n">
        <v>0.01023481097431445</v>
      </c>
      <c r="E333" s="19" t="n">
        <v>0.02313045975212047</v>
      </c>
      <c r="F333" s="19" t="n">
        <v>0.02620193947846627</v>
      </c>
      <c r="G333" s="19" t="n">
        <v>0.02548235193077053</v>
      </c>
      <c r="H333" s="19" t="n">
        <v>-0.009866352335440198</v>
      </c>
      <c r="I333" s="19" t="n">
        <v>0.0102070136663821</v>
      </c>
      <c r="J333" s="19" t="n">
        <v>0.01416540566667601</v>
      </c>
      <c r="K333" s="19" t="n">
        <v>0.009860082453022612</v>
      </c>
      <c r="L333" s="19" t="n">
        <v>0.001426836952244104</v>
      </c>
      <c r="M333" s="20">
        <f>SUMPRODUCT($B$3:$K$3,B333:K333)</f>
        <v/>
      </c>
      <c r="N333" s="21">
        <f>N332*(1+M333)</f>
        <v/>
      </c>
      <c r="O333" s="21">
        <f>MAX(O332,N333)</f>
        <v/>
      </c>
      <c r="P333" s="20">
        <f>N333/O333-1</f>
        <v/>
      </c>
    </row>
    <row r="334">
      <c r="A334" s="18" t="inlineStr">
        <is>
          <t>2025-04-21</t>
        </is>
      </c>
      <c r="B334" s="19" t="n">
        <v>-0.0193929026487476</v>
      </c>
      <c r="C334" s="19" t="n">
        <v>-0.02354657647098624</v>
      </c>
      <c r="D334" s="19" t="n">
        <v>-0.0128039664656836</v>
      </c>
      <c r="E334" s="19" t="n">
        <v>-0.00349281861714501</v>
      </c>
      <c r="F334" s="19" t="n">
        <v>-0.01468381710737166</v>
      </c>
      <c r="G334" s="19" t="n">
        <v>-0.02254479057937331</v>
      </c>
      <c r="H334" s="19" t="n">
        <v>-0.03064708456883913</v>
      </c>
      <c r="I334" s="19" t="n">
        <v>-0.02458126394223703</v>
      </c>
      <c r="J334" s="19" t="n">
        <v>-0.02766028425207301</v>
      </c>
      <c r="K334" s="19" t="n">
        <v>-0.02520433148905299</v>
      </c>
      <c r="L334" s="19" t="n">
        <v>-0.0238028192919969</v>
      </c>
      <c r="M334" s="20">
        <f>SUMPRODUCT($B$3:$K$3,B334:K334)</f>
        <v/>
      </c>
      <c r="N334" s="21">
        <f>N333*(1+M334)</f>
        <v/>
      </c>
      <c r="O334" s="21">
        <f>MAX(O333,N334)</f>
        <v/>
      </c>
      <c r="P334" s="20">
        <f>N334/O334-1</f>
        <v/>
      </c>
    </row>
    <row r="335">
      <c r="A335" s="18" t="inlineStr">
        <is>
          <t>2025-04-22</t>
        </is>
      </c>
      <c r="B335" s="19" t="n">
        <v>0.03406512999276856</v>
      </c>
      <c r="C335" s="19" t="n">
        <v>0.02144121117974507</v>
      </c>
      <c r="D335" s="19" t="n">
        <v>0.02882219999208457</v>
      </c>
      <c r="E335" s="19" t="n">
        <v>0.00528936226009713</v>
      </c>
      <c r="F335" s="19" t="n">
        <v>0.02800202513351624</v>
      </c>
      <c r="G335" s="19" t="n">
        <v>0.01285068208332518</v>
      </c>
      <c r="H335" s="19" t="n">
        <v>0.03502262189247651</v>
      </c>
      <c r="I335" s="19" t="n">
        <v>0.0303030303030305</v>
      </c>
      <c r="J335" s="19" t="n">
        <v>0.02258229318721527</v>
      </c>
      <c r="K335" s="19" t="n">
        <v>0.006056349984179921</v>
      </c>
      <c r="L335" s="19" t="n">
        <v>0.02601771075128134</v>
      </c>
      <c r="M335" s="20">
        <f>SUMPRODUCT($B$3:$K$3,B335:K335)</f>
        <v/>
      </c>
      <c r="N335" s="21">
        <f>N334*(1+M335)</f>
        <v/>
      </c>
      <c r="O335" s="21">
        <f>MAX(O334,N335)</f>
        <v/>
      </c>
      <c r="P335" s="20">
        <f>N335/O335-1</f>
        <v/>
      </c>
    </row>
    <row r="336">
      <c r="A336" s="18" t="inlineStr">
        <is>
          <t>2025-04-23</t>
        </is>
      </c>
      <c r="B336" s="19" t="n">
        <v>0.02433164044839509</v>
      </c>
      <c r="C336" s="19" t="n">
        <v>0.02063694168868957</v>
      </c>
      <c r="D336" s="19" t="n">
        <v>0.02245429063809956</v>
      </c>
      <c r="E336" s="19" t="n">
        <v>-0.01502370402615738</v>
      </c>
      <c r="F336" s="19" t="n">
        <v>-0.008587313435205024</v>
      </c>
      <c r="G336" s="19" t="n">
        <v>-0.01280680497403086</v>
      </c>
      <c r="H336" s="19" t="n">
        <v>0.04284567352780599</v>
      </c>
      <c r="I336" s="19" t="n">
        <v>0.00945375160059192</v>
      </c>
      <c r="J336" s="19" t="n">
        <v>0.01579824204993119</v>
      </c>
      <c r="K336" s="19" t="n">
        <v>-0.01134520947657325</v>
      </c>
      <c r="L336" s="19" t="n">
        <v>0.01549559629872799</v>
      </c>
      <c r="M336" s="20">
        <f>SUMPRODUCT($B$3:$K$3,B336:K336)</f>
        <v/>
      </c>
      <c r="N336" s="21">
        <f>N335*(1+M336)</f>
        <v/>
      </c>
      <c r="O336" s="21">
        <f>MAX(O335,N336)</f>
        <v/>
      </c>
      <c r="P336" s="20">
        <f>N336/O336-1</f>
        <v/>
      </c>
    </row>
    <row r="337">
      <c r="A337" s="18" t="inlineStr">
        <is>
          <t>2025-04-24</t>
        </is>
      </c>
      <c r="B337" s="19" t="n">
        <v>0.01842617254869472</v>
      </c>
      <c r="C337" s="19" t="n">
        <v>0.03448263633805571</v>
      </c>
      <c r="D337" s="19" t="n">
        <v>0.01560933619015925</v>
      </c>
      <c r="E337" s="19" t="n">
        <v>-0.002896255710334028</v>
      </c>
      <c r="F337" s="19" t="n">
        <v>0.01173504232128408</v>
      </c>
      <c r="G337" s="19" t="n">
        <v>-0.03741025441854862</v>
      </c>
      <c r="H337" s="19" t="n">
        <v>0.03289029336584059</v>
      </c>
      <c r="I337" s="19" t="n">
        <v>-0.01367623898894121</v>
      </c>
      <c r="J337" s="19" t="n">
        <v>0.03749538936728025</v>
      </c>
      <c r="K337" s="19" t="n">
        <v>0.002576058810408233</v>
      </c>
      <c r="L337" s="19" t="n">
        <v>0.02104891713412105</v>
      </c>
      <c r="M337" s="20">
        <f>SUMPRODUCT($B$3:$K$3,B337:K337)</f>
        <v/>
      </c>
      <c r="N337" s="21">
        <f>N336*(1+M337)</f>
        <v/>
      </c>
      <c r="O337" s="21">
        <f>MAX(O336,N337)</f>
        <v/>
      </c>
      <c r="P337" s="20">
        <f>N337/O337-1</f>
        <v/>
      </c>
    </row>
    <row r="338">
      <c r="A338" s="18" t="inlineStr">
        <is>
          <t>2025-04-25</t>
        </is>
      </c>
      <c r="B338" s="19" t="n">
        <v>0.004367365307580418</v>
      </c>
      <c r="C338" s="19" t="n">
        <v>0.01174804144169173</v>
      </c>
      <c r="D338" s="19" t="n">
        <v>-0.004455383854424677</v>
      </c>
      <c r="E338" s="19" t="n">
        <v>-0.00225905008984939</v>
      </c>
      <c r="F338" s="19" t="n">
        <v>-0.0005522422899372215</v>
      </c>
      <c r="G338" s="19" t="n">
        <v>0.009339951945568137</v>
      </c>
      <c r="H338" s="19" t="n">
        <v>0.01313397820955853</v>
      </c>
      <c r="I338" s="19" t="n">
        <v>-0.003918656483295146</v>
      </c>
      <c r="J338" s="19" t="n">
        <v>-0.00133607127566604</v>
      </c>
      <c r="K338" s="19" t="n">
        <v>-0.02102312882738866</v>
      </c>
      <c r="L338" s="19" t="n">
        <v>0.007225434182062562</v>
      </c>
      <c r="M338" s="20">
        <f>SUMPRODUCT($B$3:$K$3,B338:K338)</f>
        <v/>
      </c>
      <c r="N338" s="21">
        <f>N337*(1+M338)</f>
        <v/>
      </c>
      <c r="O338" s="21">
        <f>MAX(O337,N338)</f>
        <v/>
      </c>
      <c r="P338" s="20">
        <f>N338/O338-1</f>
        <v/>
      </c>
    </row>
    <row r="339">
      <c r="A339" s="18" t="inlineStr">
        <is>
          <t>2025-04-28</t>
        </is>
      </c>
      <c r="B339" s="19" t="n">
        <v>0.00410914958855324</v>
      </c>
      <c r="C339" s="19" t="n">
        <v>-0.001760832226657461</v>
      </c>
      <c r="D339" s="19" t="n">
        <v>-0.001355075621444657</v>
      </c>
      <c r="E339" s="19" t="n">
        <v>0.004981183403821587</v>
      </c>
      <c r="F339" s="19" t="n">
        <v>0.0005525474299952204</v>
      </c>
      <c r="G339" s="19" t="n">
        <v>0.005154630062330634</v>
      </c>
      <c r="H339" s="19" t="n">
        <v>-0.006825802991833663</v>
      </c>
      <c r="I339" s="19" t="n">
        <v>0.001512993545377261</v>
      </c>
      <c r="J339" s="19" t="n">
        <v>0.00199045063733827</v>
      </c>
      <c r="K339" s="19" t="n">
        <v>0.01145308276447876</v>
      </c>
      <c r="L339" s="19" t="n">
        <v>0.000381205348098046</v>
      </c>
      <c r="M339" s="20">
        <f>SUMPRODUCT($B$3:$K$3,B339:K339)</f>
        <v/>
      </c>
      <c r="N339" s="21">
        <f>N338*(1+M339)</f>
        <v/>
      </c>
      <c r="O339" s="21">
        <f>MAX(O338,N339)</f>
        <v/>
      </c>
      <c r="P339" s="20">
        <f>N339/O339-1</f>
        <v/>
      </c>
    </row>
    <row r="340">
      <c r="A340" s="18" t="inlineStr">
        <is>
          <t>2025-04-29</t>
        </is>
      </c>
      <c r="B340" s="19" t="n">
        <v>0.005091928464892703</v>
      </c>
      <c r="C340" s="19" t="n">
        <v>0.007362727251989165</v>
      </c>
      <c r="D340" s="19" t="n">
        <v>0.005756141015529126</v>
      </c>
      <c r="E340" s="19" t="n">
        <v>0.003604769434347066</v>
      </c>
      <c r="F340" s="19" t="n">
        <v>-0.002485384755418485</v>
      </c>
      <c r="G340" s="19" t="n">
        <v>0.002533122897695694</v>
      </c>
      <c r="H340" s="19" t="n">
        <v>-0.001651558676792231</v>
      </c>
      <c r="I340" s="19" t="n">
        <v>0.0160146958229308</v>
      </c>
      <c r="J340" s="19" t="n">
        <v>0.001107232570774608</v>
      </c>
      <c r="K340" s="19" t="n">
        <v>0.01321080658417451</v>
      </c>
      <c r="L340" s="19" t="n">
        <v>0.006299487545710525</v>
      </c>
      <c r="M340" s="20">
        <f>SUMPRODUCT($B$3:$K$3,B340:K340)</f>
        <v/>
      </c>
      <c r="N340" s="21">
        <f>N339*(1+M340)</f>
        <v/>
      </c>
      <c r="O340" s="21">
        <f>MAX(O339,N340)</f>
        <v/>
      </c>
      <c r="P340" s="20">
        <f>N340/O340-1</f>
        <v/>
      </c>
    </row>
    <row r="341">
      <c r="A341" s="18" t="inlineStr">
        <is>
          <t>2025-04-30</t>
        </is>
      </c>
      <c r="B341" s="19" t="n">
        <v>0.006107692668900766</v>
      </c>
      <c r="C341" s="19" t="n">
        <v>0.003096123455660127</v>
      </c>
      <c r="D341" s="19" t="n">
        <v>0</v>
      </c>
      <c r="E341" s="19" t="n">
        <v>0.002565427188058189</v>
      </c>
      <c r="F341" s="19" t="n">
        <v>-0.02519383649178142</v>
      </c>
      <c r="G341" s="19" t="n">
        <v>0.001910636444763858</v>
      </c>
      <c r="H341" s="19" t="n">
        <v>-0.01584930482083768</v>
      </c>
      <c r="I341" s="19" t="n">
        <v>-0.005501964525782665</v>
      </c>
      <c r="J341" s="19" t="n">
        <v>0.006083295137636613</v>
      </c>
      <c r="K341" s="19" t="n">
        <v>0.02584387748313399</v>
      </c>
      <c r="L341" s="19" t="n">
        <v>0.0003966960946366616</v>
      </c>
      <c r="M341" s="20">
        <f>SUMPRODUCT($B$3:$K$3,B341:K341)</f>
        <v/>
      </c>
      <c r="N341" s="21">
        <f>N340*(1+M341)</f>
        <v/>
      </c>
      <c r="O341" s="21">
        <f>MAX(O340,N341)</f>
        <v/>
      </c>
      <c r="P341" s="20">
        <f>N341/O341-1</f>
        <v/>
      </c>
    </row>
    <row r="342">
      <c r="A342" s="18" t="inlineStr">
        <is>
          <t>2025-05-01</t>
        </is>
      </c>
      <c r="B342" s="19" t="n">
        <v>0.00385882331861831</v>
      </c>
      <c r="C342" s="19" t="n">
        <v>0.07625350922904106</v>
      </c>
      <c r="D342" s="19" t="n">
        <v>0.009279811128159121</v>
      </c>
      <c r="E342" s="19" t="n">
        <v>-0.0118352466490228</v>
      </c>
      <c r="F342" s="19" t="n">
        <v>0.001420119041995349</v>
      </c>
      <c r="G342" s="19" t="n">
        <v>-0.01593155721537987</v>
      </c>
      <c r="H342" s="19" t="n">
        <v>0.03134149678280496</v>
      </c>
      <c r="I342" s="19" t="n">
        <v>-0.01241019031418356</v>
      </c>
      <c r="J342" s="19" t="n">
        <v>0.01516474667813039</v>
      </c>
      <c r="K342" s="19" t="n">
        <v>-0.01724919824777627</v>
      </c>
      <c r="L342" s="19" t="n">
        <v>0.00708712384620247</v>
      </c>
      <c r="M342" s="20">
        <f>SUMPRODUCT($B$3:$K$3,B342:K342)</f>
        <v/>
      </c>
      <c r="N342" s="21">
        <f>N341*(1+M342)</f>
        <v/>
      </c>
      <c r="O342" s="21">
        <f>MAX(O341,N342)</f>
        <v/>
      </c>
      <c r="P342" s="20">
        <f>N342/O342-1</f>
        <v/>
      </c>
    </row>
    <row r="343">
      <c r="A343" s="18" t="inlineStr">
        <is>
          <t>2025-05-02</t>
        </is>
      </c>
      <c r="B343" s="19" t="n">
        <v>-0.03736164575830014</v>
      </c>
      <c r="C343" s="19" t="n">
        <v>0.02322531486957824</v>
      </c>
      <c r="D343" s="19" t="n">
        <v>0.02276312351838583</v>
      </c>
      <c r="E343" s="19" t="n">
        <v>0.01074710322161665</v>
      </c>
      <c r="F343" s="19" t="n">
        <v>0.004064947538273245</v>
      </c>
      <c r="G343" s="19" t="n">
        <v>0.003375424065760413</v>
      </c>
      <c r="H343" s="19" t="n">
        <v>-0.001156683618470433</v>
      </c>
      <c r="I343" s="19" t="n">
        <v>0.01574551782960332</v>
      </c>
      <c r="J343" s="19" t="n">
        <v>0.03095922509308657</v>
      </c>
      <c r="K343" s="19" t="n">
        <v>0.010161738931173</v>
      </c>
      <c r="L343" s="19" t="n">
        <v>0.01484399781127532</v>
      </c>
      <c r="M343" s="20">
        <f>SUMPRODUCT($B$3:$K$3,B343:K343)</f>
        <v/>
      </c>
      <c r="N343" s="21">
        <f>N342*(1+M343)</f>
        <v/>
      </c>
      <c r="O343" s="21">
        <f>MAX(O342,N343)</f>
        <v/>
      </c>
      <c r="P343" s="20">
        <f>N343/O343-1</f>
        <v/>
      </c>
    </row>
    <row r="344">
      <c r="A344" s="18" t="inlineStr">
        <is>
          <t>2025-05-05</t>
        </is>
      </c>
      <c r="B344" s="19" t="n">
        <v>-0.03145859657797967</v>
      </c>
      <c r="C344" s="19" t="n">
        <v>0.002044650920100199</v>
      </c>
      <c r="D344" s="19" t="n">
        <v>0.0001979579085422678</v>
      </c>
      <c r="E344" s="19" t="n">
        <v>-0.007173980344711284</v>
      </c>
      <c r="F344" s="19" t="n">
        <v>-0.02768102393113303</v>
      </c>
      <c r="G344" s="19" t="n">
        <v>-0.01052836817978009</v>
      </c>
      <c r="H344" s="19" t="n">
        <v>-0.01910722026349243</v>
      </c>
      <c r="I344" s="19" t="n">
        <v>-0.01475621868197208</v>
      </c>
      <c r="J344" s="19" t="n">
        <v>-0.001760849149021526</v>
      </c>
      <c r="K344" s="19" t="n">
        <v>-0.004572516219812139</v>
      </c>
      <c r="L344" s="19" t="n">
        <v>-0.005734332018031862</v>
      </c>
      <c r="M344" s="20">
        <f>SUMPRODUCT($B$3:$K$3,B344:K344)</f>
        <v/>
      </c>
      <c r="N344" s="21">
        <f>N343*(1+M344)</f>
        <v/>
      </c>
      <c r="O344" s="21">
        <f>MAX(O343,N344)</f>
        <v/>
      </c>
      <c r="P344" s="20">
        <f>N344/O344-1</f>
        <v/>
      </c>
    </row>
    <row r="345">
      <c r="A345" s="18" t="inlineStr">
        <is>
          <t>2025-05-06</t>
        </is>
      </c>
      <c r="B345" s="19" t="n">
        <v>-0.001910647141404986</v>
      </c>
      <c r="C345" s="19" t="n">
        <v>-0.006557069061130738</v>
      </c>
      <c r="D345" s="19" t="n">
        <v>-0.01310588249851519</v>
      </c>
      <c r="E345" s="19" t="n">
        <v>-0.003419311099936317</v>
      </c>
      <c r="F345" s="19" t="n">
        <v>0.01394404726285403</v>
      </c>
      <c r="G345" s="19" t="n">
        <v>0.002644316481976716</v>
      </c>
      <c r="H345" s="19" t="n">
        <v>-0.007190832051463758</v>
      </c>
      <c r="I345" s="19" t="n">
        <v>0.006656658769716328</v>
      </c>
      <c r="J345" s="19" t="n">
        <v>-0.006870549102556023</v>
      </c>
      <c r="K345" s="19" t="n">
        <v>0.01401025552644808</v>
      </c>
      <c r="L345" s="19" t="n">
        <v>-0.00835827120794741</v>
      </c>
      <c r="M345" s="20">
        <f>SUMPRODUCT($B$3:$K$3,B345:K345)</f>
        <v/>
      </c>
      <c r="N345" s="21">
        <f>N344*(1+M345)</f>
        <v/>
      </c>
      <c r="O345" s="21">
        <f>MAX(O344,N345)</f>
        <v/>
      </c>
      <c r="P345" s="20">
        <f>N345/O345-1</f>
        <v/>
      </c>
    </row>
    <row r="346">
      <c r="A346" s="18" t="inlineStr">
        <is>
          <t>2025-05-07</t>
        </is>
      </c>
      <c r="B346" s="19" t="n">
        <v>-0.01138474562415637</v>
      </c>
      <c r="C346" s="19" t="n">
        <v>9.220492837469507e-05</v>
      </c>
      <c r="D346" s="19" t="n">
        <v>0.0005617700351323585</v>
      </c>
      <c r="E346" s="19" t="n">
        <v>0.01832068542044851</v>
      </c>
      <c r="F346" s="19" t="n">
        <v>-0.0009549879543984119</v>
      </c>
      <c r="G346" s="19" t="n">
        <v>0.0002511518325543083</v>
      </c>
      <c r="H346" s="19" t="n">
        <v>0.0199989855515319</v>
      </c>
      <c r="I346" s="19" t="n">
        <v>0.01232327711948678</v>
      </c>
      <c r="J346" s="19" t="n">
        <v>-0.001870061136947432</v>
      </c>
      <c r="K346" s="19" t="n">
        <v>-0.005889181412600641</v>
      </c>
      <c r="L346" s="19" t="n">
        <v>0.004205421878520132</v>
      </c>
      <c r="M346" s="20">
        <f>SUMPRODUCT($B$3:$K$3,B346:K346)</f>
        <v/>
      </c>
      <c r="N346" s="21">
        <f>N345*(1+M346)</f>
        <v/>
      </c>
      <c r="O346" s="21">
        <f>MAX(O345,N346)</f>
        <v/>
      </c>
      <c r="P346" s="20">
        <f>N346/O346-1</f>
        <v/>
      </c>
    </row>
    <row r="347">
      <c r="A347" s="18" t="inlineStr">
        <is>
          <t>2025-05-08</t>
        </is>
      </c>
      <c r="B347" s="19" t="n">
        <v>0.006318560792864192</v>
      </c>
      <c r="C347" s="19" t="n">
        <v>0.01112270810119464</v>
      </c>
      <c r="D347" s="19" t="n">
        <v>0.01635987681456164</v>
      </c>
      <c r="E347" s="19" t="n">
        <v>-0.01042588968794589</v>
      </c>
      <c r="F347" s="19" t="n">
        <v>0.01395668718177867</v>
      </c>
      <c r="G347" s="19" t="n">
        <v>-0.004017916757469986</v>
      </c>
      <c r="H347" s="19" t="n">
        <v>0.01785806262143419</v>
      </c>
      <c r="I347" s="19" t="n">
        <v>0.01425176600877864</v>
      </c>
      <c r="J347" s="19" t="n">
        <v>0.01236386815244717</v>
      </c>
      <c r="K347" s="19" t="n">
        <v>-0.00637951294424155</v>
      </c>
      <c r="L347" s="19" t="n">
        <v>0.006967926441200367</v>
      </c>
      <c r="M347" s="20">
        <f>SUMPRODUCT($B$3:$K$3,B347:K347)</f>
        <v/>
      </c>
      <c r="N347" s="21">
        <f>N346*(1+M347)</f>
        <v/>
      </c>
      <c r="O347" s="21">
        <f>MAX(O346,N347)</f>
        <v/>
      </c>
      <c r="P347" s="20">
        <f>N347/O347-1</f>
        <v/>
      </c>
    </row>
    <row r="348">
      <c r="A348" s="18" t="inlineStr">
        <is>
          <t>2025-05-09</t>
        </is>
      </c>
      <c r="B348" s="19" t="n">
        <v>0.005266028094034647</v>
      </c>
      <c r="C348" s="19" t="n">
        <v>0.001278031050017114</v>
      </c>
      <c r="D348" s="19" t="n">
        <v>-0.001538581322974131</v>
      </c>
      <c r="E348" s="19" t="n">
        <v>-0.009250858662786521</v>
      </c>
      <c r="F348" s="19" t="n">
        <v>0.01169031792499098</v>
      </c>
      <c r="G348" s="19" t="n">
        <v>-0.006240040288422732</v>
      </c>
      <c r="H348" s="19" t="n">
        <v>0.005102018524557161</v>
      </c>
      <c r="I348" s="19" t="n">
        <v>0.02912757553876988</v>
      </c>
      <c r="J348" s="19" t="n">
        <v>0.004225204042661579</v>
      </c>
      <c r="K348" s="19" t="n">
        <v>0</v>
      </c>
      <c r="L348" s="19" t="n">
        <v>-0.001274200923169766</v>
      </c>
      <c r="M348" s="20">
        <f>SUMPRODUCT($B$3:$K$3,B348:K348)</f>
        <v/>
      </c>
      <c r="N348" s="21">
        <f>N347*(1+M348)</f>
        <v/>
      </c>
      <c r="O348" s="21">
        <f>MAX(O347,N348)</f>
        <v/>
      </c>
      <c r="P348" s="20">
        <f>N348/O348-1</f>
        <v/>
      </c>
    </row>
    <row r="349">
      <c r="A349" s="18" t="inlineStr">
        <is>
          <t>2025-05-12</t>
        </is>
      </c>
      <c r="B349" s="19" t="n">
        <v>0.06314611998383768</v>
      </c>
      <c r="C349" s="19" t="n">
        <v>0.0240011293854292</v>
      </c>
      <c r="D349" s="19" t="n">
        <v>0.02754061546339814</v>
      </c>
      <c r="E349" s="19" t="n">
        <v>-0.0005188723899757219</v>
      </c>
      <c r="F349" s="19" t="n">
        <v>0.01723970265166175</v>
      </c>
      <c r="G349" s="19" t="n">
        <v>0.0205506673241671</v>
      </c>
      <c r="H349" s="19" t="n">
        <v>0.08070031092964336</v>
      </c>
      <c r="I349" s="19" t="n">
        <v>-0.008817971342670483</v>
      </c>
      <c r="J349" s="19" t="n">
        <v>0.05199308930384405</v>
      </c>
      <c r="K349" s="19" t="n">
        <v>-0.01398757649552318</v>
      </c>
      <c r="L349" s="19" t="n">
        <v>0.03304736082891346</v>
      </c>
      <c r="M349" s="20">
        <f>SUMPRODUCT($B$3:$K$3,B349:K349)</f>
        <v/>
      </c>
      <c r="N349" s="21">
        <f>N348*(1+M349)</f>
        <v/>
      </c>
      <c r="O349" s="21">
        <f>MAX(O348,N349)</f>
        <v/>
      </c>
      <c r="P349" s="20">
        <f>N349/O349-1</f>
        <v/>
      </c>
    </row>
    <row r="350">
      <c r="A350" s="18" t="inlineStr">
        <is>
          <t>2025-05-13</t>
        </is>
      </c>
      <c r="B350" s="19" t="n">
        <v>0.01015239577162697</v>
      </c>
      <c r="C350" s="19" t="n">
        <v>-0.0002670690892476735</v>
      </c>
      <c r="D350" s="19" t="n">
        <v>0.01138263750605373</v>
      </c>
      <c r="E350" s="19" t="n">
        <v>-0.03697938889980723</v>
      </c>
      <c r="F350" s="19" t="n">
        <v>0.00274824451083644</v>
      </c>
      <c r="G350" s="19" t="n">
        <v>-0.0134868117451854</v>
      </c>
      <c r="H350" s="19" t="n">
        <v>0.01308471882441209</v>
      </c>
      <c r="I350" s="19" t="n">
        <v>0.03472518897941401</v>
      </c>
      <c r="J350" s="19" t="n">
        <v>0.02916346420951332</v>
      </c>
      <c r="K350" s="19" t="n">
        <v>-0.008139610136963071</v>
      </c>
      <c r="L350" s="19" t="n">
        <v>0.006603975902139902</v>
      </c>
      <c r="M350" s="20">
        <f>SUMPRODUCT($B$3:$K$3,B350:K350)</f>
        <v/>
      </c>
      <c r="N350" s="21">
        <f>N349*(1+M350)</f>
        <v/>
      </c>
      <c r="O350" s="21">
        <f>MAX(O349,N350)</f>
        <v/>
      </c>
      <c r="P350" s="20">
        <f>N350/O350-1</f>
        <v/>
      </c>
    </row>
    <row r="351">
      <c r="A351" s="18" t="inlineStr">
        <is>
          <t>2025-05-14</t>
        </is>
      </c>
      <c r="B351" s="19" t="n">
        <v>-0.002817793488831821</v>
      </c>
      <c r="C351" s="19" t="n">
        <v>0.008460501162603995</v>
      </c>
      <c r="D351" s="19" t="n">
        <v>0.009999538972726763</v>
      </c>
      <c r="E351" s="19" t="n">
        <v>-0.01401235753798813</v>
      </c>
      <c r="F351" s="19" t="n">
        <v>-0.008952901183862716</v>
      </c>
      <c r="G351" s="19" t="n">
        <v>-0.004472873372539321</v>
      </c>
      <c r="H351" s="19" t="n">
        <v>-0.005298742220089303</v>
      </c>
      <c r="I351" s="19" t="n">
        <v>0.001109590008979477</v>
      </c>
      <c r="J351" s="19" t="n">
        <v>-0.008169238627976805</v>
      </c>
      <c r="K351" s="19" t="n">
        <v>-0.007034160317684446</v>
      </c>
      <c r="L351" s="19" t="n">
        <v>0.001277978579822925</v>
      </c>
      <c r="M351" s="20">
        <f>SUMPRODUCT($B$3:$K$3,B351:K351)</f>
        <v/>
      </c>
      <c r="N351" s="21">
        <f>N350*(1+M351)</f>
        <v/>
      </c>
      <c r="O351" s="21">
        <f>MAX(O350,N351)</f>
        <v/>
      </c>
      <c r="P351" s="20">
        <f>N351/O351-1</f>
        <v/>
      </c>
    </row>
    <row r="352">
      <c r="A352" s="18" t="inlineStr">
        <is>
          <t>2025-05-15</t>
        </is>
      </c>
      <c r="B352" s="19" t="n">
        <v>-0.004144543060426886</v>
      </c>
      <c r="C352" s="19" t="n">
        <v>0.002256074550257559</v>
      </c>
      <c r="D352" s="19" t="n">
        <v>0.006964117313777329</v>
      </c>
      <c r="E352" s="19" t="n">
        <v>0.02220547302925646</v>
      </c>
      <c r="F352" s="19" t="n">
        <v>0.01014045477835857</v>
      </c>
      <c r="G352" s="19" t="n">
        <v>0.02778129175910893</v>
      </c>
      <c r="H352" s="19" t="n">
        <v>-0.0241617209562649</v>
      </c>
      <c r="I352" s="19" t="n">
        <v>0.03269137906735597</v>
      </c>
      <c r="J352" s="19" t="n">
        <v>0.000429026175104319</v>
      </c>
      <c r="K352" s="19" t="n">
        <v>0.02668252468738075</v>
      </c>
      <c r="L352" s="19" t="n">
        <v>0.004884270229584153</v>
      </c>
      <c r="M352" s="20">
        <f>SUMPRODUCT($B$3:$K$3,B352:K352)</f>
        <v/>
      </c>
      <c r="N352" s="21">
        <f>N351*(1+M352)</f>
        <v/>
      </c>
      <c r="O352" s="21">
        <f>MAX(O351,N352)</f>
        <v/>
      </c>
      <c r="P352" s="20">
        <f>N352/O352-1</f>
        <v/>
      </c>
    </row>
    <row r="353">
      <c r="A353" s="18" t="inlineStr">
        <is>
          <t>2025-05-16</t>
        </is>
      </c>
      <c r="B353" s="19" t="n">
        <v>-0.0008985612650627139</v>
      </c>
      <c r="C353" s="19" t="n">
        <v>0.002515843214881741</v>
      </c>
      <c r="D353" s="19" t="n">
        <v>0.0002617024209810026</v>
      </c>
      <c r="E353" s="19" t="n">
        <v>0.01149664477672152</v>
      </c>
      <c r="F353" s="19" t="n">
        <v>-0.003591802779232101</v>
      </c>
      <c r="G353" s="19" t="n">
        <v>0.00535677873858087</v>
      </c>
      <c r="H353" s="19" t="n">
        <v>0.002047074000553817</v>
      </c>
      <c r="I353" s="19" t="n">
        <v>0.006035999739462561</v>
      </c>
      <c r="J353" s="19" t="n">
        <v>0.01077724422333048</v>
      </c>
      <c r="K353" s="19" t="n">
        <v>0.01172946930944585</v>
      </c>
      <c r="L353" s="19" t="n">
        <v>0.006334115364398984</v>
      </c>
      <c r="M353" s="20">
        <f>SUMPRODUCT($B$3:$K$3,B353:K353)</f>
        <v/>
      </c>
      <c r="N353" s="21">
        <f>N352*(1+M353)</f>
        <v/>
      </c>
      <c r="O353" s="21">
        <f>MAX(O352,N353)</f>
        <v/>
      </c>
      <c r="P353" s="20">
        <f>N353/O353-1</f>
        <v/>
      </c>
    </row>
    <row r="354">
      <c r="A354" s="18" t="inlineStr">
        <is>
          <t>2025-05-19</t>
        </is>
      </c>
      <c r="B354" s="19" t="n">
        <v>-0.01173912219891482</v>
      </c>
      <c r="C354" s="19" t="n">
        <v>0.01012611149638643</v>
      </c>
      <c r="D354" s="19" t="n">
        <v>-0.01001625868122469</v>
      </c>
      <c r="E354" s="19" t="n">
        <v>0.007665341640203049</v>
      </c>
      <c r="F354" s="19" t="n">
        <v>-0.01589803287705127</v>
      </c>
      <c r="G354" s="19" t="n">
        <v>0.009125540986334446</v>
      </c>
      <c r="H354" s="19" t="n">
        <v>0.002772544065236859</v>
      </c>
      <c r="I354" s="19" t="n">
        <v>-0.01519985941392488</v>
      </c>
      <c r="J354" s="19" t="n">
        <v>-0.002856260054445281</v>
      </c>
      <c r="K354" s="19" t="n">
        <v>0.007274392674866403</v>
      </c>
      <c r="L354" s="19" t="n">
        <v>0.001093820794875189</v>
      </c>
      <c r="M354" s="20">
        <f>SUMPRODUCT($B$3:$K$3,B354:K354)</f>
        <v/>
      </c>
      <c r="N354" s="21">
        <f>N353*(1+M354)</f>
        <v/>
      </c>
      <c r="O354" s="21">
        <f>MAX(O353,N354)</f>
        <v/>
      </c>
      <c r="P354" s="20">
        <f>N354/O354-1</f>
        <v/>
      </c>
    </row>
    <row r="355">
      <c r="A355" s="18" t="inlineStr">
        <is>
          <t>2025-05-20</t>
        </is>
      </c>
      <c r="B355" s="19" t="n">
        <v>-0.009196290316480504</v>
      </c>
      <c r="C355" s="19" t="n">
        <v>-0.001525347014598832</v>
      </c>
      <c r="D355" s="19" t="n">
        <v>0.003020118985467501</v>
      </c>
      <c r="E355" s="19" t="n">
        <v>0.007672626029234131</v>
      </c>
      <c r="F355" s="19" t="n">
        <v>-0.01427633728333355</v>
      </c>
      <c r="G355" s="19" t="n">
        <v>0.00527995723052288</v>
      </c>
      <c r="H355" s="19" t="n">
        <v>-0.0101377391383638</v>
      </c>
      <c r="I355" s="19" t="n">
        <v>0.007446540467704876</v>
      </c>
      <c r="J355" s="19" t="n">
        <v>-0.008736029842506543</v>
      </c>
      <c r="K355" s="19" t="n">
        <v>-0.002031051195163003</v>
      </c>
      <c r="L355" s="19" t="n">
        <v>-0.0033621577891223</v>
      </c>
      <c r="M355" s="20">
        <f>SUMPRODUCT($B$3:$K$3,B355:K355)</f>
        <v/>
      </c>
      <c r="N355" s="21">
        <f>N354*(1+M355)</f>
        <v/>
      </c>
      <c r="O355" s="21">
        <f>MAX(O354,N355)</f>
        <v/>
      </c>
      <c r="P355" s="20">
        <f>N355/O355-1</f>
        <v/>
      </c>
    </row>
    <row r="356">
      <c r="A356" s="18" t="inlineStr">
        <is>
          <t>2025-05-21</t>
        </is>
      </c>
      <c r="B356" s="19" t="n">
        <v>-0.02305906406303615</v>
      </c>
      <c r="C356" s="19" t="n">
        <v>-0.01222262880758973</v>
      </c>
      <c r="D356" s="19" t="n">
        <v>-0.01746466444499928</v>
      </c>
      <c r="E356" s="19" t="n">
        <v>-0.0031238584443678</v>
      </c>
      <c r="F356" s="19" t="n">
        <v>-0.01229145711115442</v>
      </c>
      <c r="G356" s="19" t="n">
        <v>-0.001267752279409673</v>
      </c>
      <c r="H356" s="19" t="n">
        <v>-0.01445588328099767</v>
      </c>
      <c r="I356" s="19" t="n">
        <v>-0.03857006097719096</v>
      </c>
      <c r="J356" s="19" t="n">
        <v>-0.01997188839009967</v>
      </c>
      <c r="K356" s="19" t="n">
        <v>-0.01062881140602479</v>
      </c>
      <c r="L356" s="19" t="n">
        <v>-0.01685085923097007</v>
      </c>
      <c r="M356" s="20">
        <f>SUMPRODUCT($B$3:$K$3,B356:K356)</f>
        <v/>
      </c>
      <c r="N356" s="21">
        <f>N355*(1+M356)</f>
        <v/>
      </c>
      <c r="O356" s="21">
        <f>MAX(O355,N356)</f>
        <v/>
      </c>
      <c r="P356" s="20">
        <f>N356/O356-1</f>
        <v/>
      </c>
    </row>
    <row r="357">
      <c r="A357" s="18" t="inlineStr">
        <is>
          <t>2025-05-22</t>
        </is>
      </c>
      <c r="B357" s="19" t="n">
        <v>-0.003612163088594578</v>
      </c>
      <c r="C357" s="19" t="n">
        <v>0.005059976217349105</v>
      </c>
      <c r="D357" s="19" t="n">
        <v>-0.001417224109546589</v>
      </c>
      <c r="E357" s="19" t="n">
        <v>-0.003721031792846663</v>
      </c>
      <c r="F357" s="19" t="n">
        <v>-0.006656376578989986</v>
      </c>
      <c r="G357" s="19" t="n">
        <v>-0.002417981684598947</v>
      </c>
      <c r="H357" s="19" t="n">
        <v>0.009844923599835909</v>
      </c>
      <c r="I357" s="19" t="n">
        <v>-0.06429968014107268</v>
      </c>
      <c r="J357" s="19" t="n">
        <v>0.007824577584967685</v>
      </c>
      <c r="K357" s="19" t="n">
        <v>-0.01417122195245479</v>
      </c>
      <c r="L357" s="19" t="n">
        <v>0.0003947301607376552</v>
      </c>
      <c r="M357" s="20">
        <f>SUMPRODUCT($B$3:$K$3,B357:K357)</f>
        <v/>
      </c>
      <c r="N357" s="21">
        <f>N356*(1+M357)</f>
        <v/>
      </c>
      <c r="O357" s="21">
        <f>MAX(O356,N357)</f>
        <v/>
      </c>
      <c r="P357" s="20">
        <f>N357/O357-1</f>
        <v/>
      </c>
    </row>
    <row r="358">
      <c r="A358" s="18" t="inlineStr">
        <is>
          <t>2025-05-23</t>
        </is>
      </c>
      <c r="B358" s="19" t="n">
        <v>-0.03024444488777678</v>
      </c>
      <c r="C358" s="19" t="n">
        <v>-0.01028886998662104</v>
      </c>
      <c r="D358" s="19" t="n">
        <v>0.0001533368968076321</v>
      </c>
      <c r="E358" s="19" t="n">
        <v>0.002162409658527764</v>
      </c>
      <c r="F358" s="19" t="n">
        <v>0.0005825902697500496</v>
      </c>
      <c r="G358" s="19" t="n">
        <v>0.005029379734748707</v>
      </c>
      <c r="H358" s="19" t="n">
        <v>-0.01038897364324098</v>
      </c>
      <c r="I358" s="19" t="n">
        <v>0.01224969986794067</v>
      </c>
      <c r="J358" s="19" t="n">
        <v>-0.005214443799823942</v>
      </c>
      <c r="K358" s="19" t="n">
        <v>0.004405115883573174</v>
      </c>
      <c r="L358" s="19" t="n">
        <v>-0.006825881910519027</v>
      </c>
      <c r="M358" s="20">
        <f>SUMPRODUCT($B$3:$K$3,B358:K358)</f>
        <v/>
      </c>
      <c r="N358" s="21">
        <f>N357*(1+M358)</f>
        <v/>
      </c>
      <c r="O358" s="21">
        <f>MAX(O357,N358)</f>
        <v/>
      </c>
      <c r="P358" s="20">
        <f>N358/O358-1</f>
        <v/>
      </c>
    </row>
    <row r="359">
      <c r="A359" s="18" t="inlineStr">
        <is>
          <t>2025-05-27</t>
        </is>
      </c>
      <c r="B359" s="19" t="n">
        <v>0.02529833156690242</v>
      </c>
      <c r="C359" s="19" t="n">
        <v>0.02334624143524677</v>
      </c>
      <c r="D359" s="19" t="n">
        <v>0.01756744875074467</v>
      </c>
      <c r="E359" s="19" t="n">
        <v>0.01061718124954081</v>
      </c>
      <c r="F359" s="19" t="n">
        <v>0.004755909067627684</v>
      </c>
      <c r="G359" s="19" t="n">
        <v>0.01145547022064042</v>
      </c>
      <c r="H359" s="19" t="n">
        <v>0.02502611394509313</v>
      </c>
      <c r="I359" s="19" t="n">
        <v>0.004132349561613013</v>
      </c>
      <c r="J359" s="19" t="n">
        <v>0.0236464053392289</v>
      </c>
      <c r="K359" s="19" t="n">
        <v>0.004155221175405899</v>
      </c>
      <c r="L359" s="19" t="n">
        <v>0.02079077747352742</v>
      </c>
      <c r="M359" s="20">
        <f>SUMPRODUCT($B$3:$K$3,B359:K359)</f>
        <v/>
      </c>
      <c r="N359" s="21">
        <f>N358*(1+M359)</f>
        <v/>
      </c>
      <c r="O359" s="21">
        <f>MAX(O358,N359)</f>
        <v/>
      </c>
      <c r="P359" s="20">
        <f>N359/O359-1</f>
        <v/>
      </c>
    </row>
    <row r="360">
      <c r="A360" s="18" t="inlineStr">
        <is>
          <t>2025-05-28</t>
        </is>
      </c>
      <c r="B360" s="19" t="n">
        <v>0.001048870744677632</v>
      </c>
      <c r="C360" s="19" t="n">
        <v>-0.007228330828894514</v>
      </c>
      <c r="D360" s="19" t="n">
        <v>-0.006785060662433451</v>
      </c>
      <c r="E360" s="19" t="n">
        <v>-0.005350815693510813</v>
      </c>
      <c r="F360" s="19" t="n">
        <v>-0.01362054426607995</v>
      </c>
      <c r="G360" s="19" t="n">
        <v>-0.002384304391543246</v>
      </c>
      <c r="H360" s="19" t="n">
        <v>-0.00631008166584901</v>
      </c>
      <c r="I360" s="19" t="n">
        <v>-0.01219884475540967</v>
      </c>
      <c r="J360" s="19" t="n">
        <v>-0.0057465999217855</v>
      </c>
      <c r="K360" s="19" t="n">
        <v>-0.008505674162213261</v>
      </c>
      <c r="L360" s="19" t="n">
        <v>-0.005785438328822834</v>
      </c>
      <c r="M360" s="20">
        <f>SUMPRODUCT($B$3:$K$3,B360:K360)</f>
        <v/>
      </c>
      <c r="N360" s="21">
        <f>N359*(1+M360)</f>
        <v/>
      </c>
      <c r="O360" s="21">
        <f>MAX(O359,N360)</f>
        <v/>
      </c>
      <c r="P360" s="20">
        <f>N360/O360-1</f>
        <v/>
      </c>
    </row>
    <row r="361">
      <c r="A361" s="18" t="inlineStr">
        <is>
          <t>2025-05-29</t>
        </is>
      </c>
      <c r="B361" s="19" t="n">
        <v>-0.002345093148486188</v>
      </c>
      <c r="C361" s="19" t="n">
        <v>0.002886171202896914</v>
      </c>
      <c r="D361" s="19" t="n">
        <v>0.00333979888857594</v>
      </c>
      <c r="E361" s="19" t="n">
        <v>0.007544515777657246</v>
      </c>
      <c r="F361" s="19" t="n">
        <v>0.005680198757293642</v>
      </c>
      <c r="G361" s="19" t="n">
        <v>0.007170103154157559</v>
      </c>
      <c r="H361" s="19" t="n">
        <v>0.004787005283780621</v>
      </c>
      <c r="I361" s="19" t="n">
        <v>0.02648430190146711</v>
      </c>
      <c r="J361" s="19" t="n">
        <v>0.006581070248516729</v>
      </c>
      <c r="K361" s="19" t="n">
        <v>0.004637090424751467</v>
      </c>
      <c r="L361" s="19" t="n">
        <v>0.003947531779151081</v>
      </c>
      <c r="M361" s="20">
        <f>SUMPRODUCT($B$3:$K$3,B361:K361)</f>
        <v/>
      </c>
      <c r="N361" s="21">
        <f>N360*(1+M361)</f>
        <v/>
      </c>
      <c r="O361" s="21">
        <f>MAX(O360,N361)</f>
        <v/>
      </c>
      <c r="P361" s="20">
        <f>N361/O361-1</f>
        <v/>
      </c>
    </row>
    <row r="362">
      <c r="A362" s="18" t="inlineStr">
        <is>
          <t>2025-05-30</t>
        </is>
      </c>
      <c r="B362" s="19" t="n">
        <v>0.004501148119052001</v>
      </c>
      <c r="C362" s="19" t="n">
        <v>0.003662590917217878</v>
      </c>
      <c r="D362" s="19" t="n">
        <v>-0.001399490868555509</v>
      </c>
      <c r="E362" s="19" t="n">
        <v>0.01061324230371841</v>
      </c>
      <c r="F362" s="19" t="n">
        <v>-0.003797818114141815</v>
      </c>
      <c r="G362" s="19" t="n">
        <v>0.007890383176815119</v>
      </c>
      <c r="H362" s="19" t="n">
        <v>-0.003354411529621126</v>
      </c>
      <c r="I362" s="19" t="n">
        <v>0.02391645588170377</v>
      </c>
      <c r="J362" s="19" t="n">
        <v>-0.01068820935793524</v>
      </c>
      <c r="K362" s="19" t="n">
        <v>0.01453948593890364</v>
      </c>
      <c r="L362" s="19" t="n">
        <v>-0.001118654333918001</v>
      </c>
      <c r="M362" s="20">
        <f>SUMPRODUCT($B$3:$K$3,B362:K362)</f>
        <v/>
      </c>
      <c r="N362" s="21">
        <f>N361*(1+M362)</f>
        <v/>
      </c>
      <c r="O362" s="21">
        <f>MAX(O361,N362)</f>
        <v/>
      </c>
      <c r="P362" s="20">
        <f>N362/O362-1</f>
        <v/>
      </c>
    </row>
    <row r="363">
      <c r="A363" s="18" t="inlineStr">
        <is>
          <t>2025-06-02</t>
        </is>
      </c>
      <c r="B363" s="19" t="n">
        <v>0.004231886881379321</v>
      </c>
      <c r="C363" s="19" t="n">
        <v>0.003497391818143569</v>
      </c>
      <c r="D363" s="19" t="n">
        <v>0.002499862092085525</v>
      </c>
      <c r="E363" s="19" t="n">
        <v>0.001224180341439896</v>
      </c>
      <c r="F363" s="19" t="n">
        <v>0.007331351383212281</v>
      </c>
      <c r="G363" s="19" t="n">
        <v>-0.01241976994130445</v>
      </c>
      <c r="H363" s="19" t="n">
        <v>0.007999607012299847</v>
      </c>
      <c r="I363" s="19" t="n">
        <v>0.001098818366734866</v>
      </c>
      <c r="J363" s="19" t="n">
        <v>-0.009654253425062653</v>
      </c>
      <c r="K363" s="19" t="n">
        <v>0.003184818679270673</v>
      </c>
      <c r="L363" s="19" t="n">
        <v>0.005632907541234244</v>
      </c>
      <c r="M363" s="20">
        <f>SUMPRODUCT($B$3:$K$3,B363:K363)</f>
        <v/>
      </c>
      <c r="N363" s="21">
        <f>N362*(1+M363)</f>
        <v/>
      </c>
      <c r="O363" s="21">
        <f>MAX(O362,N363)</f>
        <v/>
      </c>
      <c r="P363" s="20">
        <f>N363/O363-1</f>
        <v/>
      </c>
    </row>
    <row r="364">
      <c r="A364" s="18" t="inlineStr">
        <is>
          <t>2025-06-03</t>
        </is>
      </c>
      <c r="B364" s="19" t="n">
        <v>0.007784018736559428</v>
      </c>
      <c r="C364" s="19" t="n">
        <v>0.002164692338898488</v>
      </c>
      <c r="D364" s="19" t="n">
        <v>0.006083281850145061</v>
      </c>
      <c r="E364" s="19" t="n">
        <v>-0.006306292092011612</v>
      </c>
      <c r="F364" s="19" t="n">
        <v>0.007278070743416576</v>
      </c>
      <c r="G364" s="19" t="n">
        <v>-0.005542856135623331</v>
      </c>
      <c r="H364" s="19" t="n">
        <v>-0.00454869204152053</v>
      </c>
      <c r="I364" s="19" t="n">
        <v>0.01140400565910182</v>
      </c>
      <c r="J364" s="19" t="n">
        <v>0.01372306834275783</v>
      </c>
      <c r="K364" s="19" t="n">
        <v>-0.006122449554514686</v>
      </c>
      <c r="L364" s="19" t="n">
        <v>0.005702585572020968</v>
      </c>
      <c r="M364" s="20">
        <f>SUMPRODUCT($B$3:$K$3,B364:K364)</f>
        <v/>
      </c>
      <c r="N364" s="21">
        <f>N363*(1+M364)</f>
        <v/>
      </c>
      <c r="O364" s="21">
        <f>MAX(O363,N364)</f>
        <v/>
      </c>
      <c r="P364" s="20">
        <f>N364/O364-1</f>
        <v/>
      </c>
    </row>
    <row r="365">
      <c r="A365" s="18" t="inlineStr">
        <is>
          <t>2025-06-04</t>
        </is>
      </c>
      <c r="B365" s="19" t="n">
        <v>-0.002213853078149475</v>
      </c>
      <c r="C365" s="19" t="n">
        <v>0.001943801891439056</v>
      </c>
      <c r="D365" s="19" t="n">
        <v>-0.007698788141546897</v>
      </c>
      <c r="E365" s="19" t="n">
        <v>-0.007771058805998932</v>
      </c>
      <c r="F365" s="19" t="n">
        <v>-0.01445088999662747</v>
      </c>
      <c r="G365" s="19" t="n">
        <v>-0.005394227408912156</v>
      </c>
      <c r="H365" s="19" t="n">
        <v>0.00738898917924824</v>
      </c>
      <c r="I365" s="19" t="n">
        <v>-0.01508093788937104</v>
      </c>
      <c r="J365" s="19" t="n">
        <v>-0.0002002550598454444</v>
      </c>
      <c r="K365" s="19" t="n">
        <v>-0.01346101699078894</v>
      </c>
      <c r="L365" s="19" t="n">
        <v>-0.0002685546544632933</v>
      </c>
      <c r="M365" s="20">
        <f>SUMPRODUCT($B$3:$K$3,B365:K365)</f>
        <v/>
      </c>
      <c r="N365" s="21">
        <f>N364*(1+M365)</f>
        <v/>
      </c>
      <c r="O365" s="21">
        <f>MAX(O364,N365)</f>
        <v/>
      </c>
      <c r="P365" s="20">
        <f>N365/O365-1</f>
        <v/>
      </c>
    </row>
    <row r="366">
      <c r="A366" s="18" t="inlineStr">
        <is>
          <t>2025-06-05</t>
        </is>
      </c>
      <c r="B366" s="19" t="n">
        <v>-0.01079771295590248</v>
      </c>
      <c r="C366" s="19" t="n">
        <v>0.008213572416003512</v>
      </c>
      <c r="D366" s="19" t="n">
        <v>-0.008591309975769623</v>
      </c>
      <c r="E366" s="19" t="n">
        <v>0.002871909571110276</v>
      </c>
      <c r="F366" s="19" t="n">
        <v>-0.004594351744226399</v>
      </c>
      <c r="G366" s="19" t="n">
        <v>-0.01898171368527424</v>
      </c>
      <c r="H366" s="19" t="n">
        <v>0.003281416535202641</v>
      </c>
      <c r="I366" s="19" t="n">
        <v>0.02318260713075038</v>
      </c>
      <c r="J366" s="19" t="n">
        <v>-0.001059158027757912</v>
      </c>
      <c r="K366" s="19" t="n">
        <v>0.001387444465588805</v>
      </c>
      <c r="L366" s="19" t="n">
        <v>-0.004832679345087909</v>
      </c>
      <c r="M366" s="20">
        <f>SUMPRODUCT($B$3:$K$3,B366:K366)</f>
        <v/>
      </c>
      <c r="N366" s="21">
        <f>N365*(1+M366)</f>
        <v/>
      </c>
      <c r="O366" s="21">
        <f>MAX(O365,N366)</f>
        <v/>
      </c>
      <c r="P366" s="20">
        <f>N366/O366-1</f>
        <v/>
      </c>
    </row>
    <row r="367">
      <c r="A367" s="18" t="inlineStr">
        <is>
          <t>2025-06-06</t>
        </is>
      </c>
      <c r="B367" s="19" t="n">
        <v>0.01639831608821107</v>
      </c>
      <c r="C367" s="19" t="n">
        <v>0.005773205441711449</v>
      </c>
      <c r="D367" s="19" t="n">
        <v>0.01443008880027108</v>
      </c>
      <c r="E367" s="19" t="n">
        <v>0.008915607662938418</v>
      </c>
      <c r="F367" s="19" t="n">
        <v>0.02396141597393497</v>
      </c>
      <c r="G367" s="19" t="n">
        <v>0.007493921018853822</v>
      </c>
      <c r="H367" s="19" t="n">
        <v>0.02722333491613949</v>
      </c>
      <c r="I367" s="19" t="n">
        <v>0.009230706943057942</v>
      </c>
      <c r="J367" s="19" t="n">
        <v>0.01258016537620943</v>
      </c>
      <c r="K367" s="19" t="n">
        <v>0.01154726106174975</v>
      </c>
      <c r="L367" s="19" t="n">
        <v>0.01026900222096949</v>
      </c>
      <c r="M367" s="20">
        <f>SUMPRODUCT($B$3:$K$3,B367:K367)</f>
        <v/>
      </c>
      <c r="N367" s="21">
        <f>N366*(1+M367)</f>
        <v/>
      </c>
      <c r="O367" s="21">
        <f>MAX(O366,N367)</f>
        <v/>
      </c>
      <c r="P367" s="20">
        <f>N367/O367-1</f>
        <v/>
      </c>
    </row>
    <row r="368">
      <c r="A368" s="18" t="inlineStr">
        <is>
          <t>2025-06-09</t>
        </is>
      </c>
      <c r="B368" s="19" t="n">
        <v>-0.01211264331206829</v>
      </c>
      <c r="C368" s="19" t="n">
        <v>0.005038414313738082</v>
      </c>
      <c r="D368" s="19" t="n">
        <v>0.003800883521072329</v>
      </c>
      <c r="E368" s="19" t="n">
        <v>0.001290080311427966</v>
      </c>
      <c r="F368" s="19" t="n">
        <v>0.006713412698696075</v>
      </c>
      <c r="G368" s="19" t="n">
        <v>-0.008901363581140909</v>
      </c>
      <c r="H368" s="19" t="n">
        <v>0.01596660713760056</v>
      </c>
      <c r="I368" s="19" t="n">
        <v>-0.003603050228857096</v>
      </c>
      <c r="J368" s="19" t="n">
        <v>0.01335788947340477</v>
      </c>
      <c r="K368" s="19" t="n">
        <v>-0.003424500818968168</v>
      </c>
      <c r="L368" s="19" t="n">
        <v>0.0009011883528189379</v>
      </c>
      <c r="M368" s="20">
        <f>SUMPRODUCT($B$3:$K$3,B368:K368)</f>
        <v/>
      </c>
      <c r="N368" s="21">
        <f>N367*(1+M368)</f>
        <v/>
      </c>
      <c r="O368" s="21">
        <f>MAX(O367,N368)</f>
        <v/>
      </c>
      <c r="P368" s="20">
        <f>N368/O368-1</f>
        <v/>
      </c>
    </row>
    <row r="369">
      <c r="A369" s="18" t="inlineStr">
        <is>
          <t>2025-06-10</t>
        </is>
      </c>
      <c r="B369" s="19" t="n">
        <v>0.006056142734082393</v>
      </c>
      <c r="C369" s="19" t="n">
        <v>-0.003870871679205523</v>
      </c>
      <c r="D369" s="19" t="n">
        <v>0.006973007057010872</v>
      </c>
      <c r="E369" s="19" t="n">
        <v>0.00785940133157137</v>
      </c>
      <c r="F369" s="19" t="n">
        <v>0.02143469318956726</v>
      </c>
      <c r="G369" s="19" t="n">
        <v>0.001722362952774503</v>
      </c>
      <c r="H369" s="19" t="n">
        <v>0.002903515970217097</v>
      </c>
      <c r="I369" s="19" t="n">
        <v>0.01265649701243343</v>
      </c>
      <c r="J369" s="19" t="n">
        <v>0.001396412379330858</v>
      </c>
      <c r="K369" s="19" t="n">
        <v>0.0109964381209855</v>
      </c>
      <c r="L369" s="19" t="n">
        <v>0.005669829436407703</v>
      </c>
      <c r="M369" s="20">
        <f>SUMPRODUCT($B$3:$K$3,B369:K369)</f>
        <v/>
      </c>
      <c r="N369" s="21">
        <f>N368*(1+M369)</f>
        <v/>
      </c>
      <c r="O369" s="21">
        <f>MAX(O368,N369)</f>
        <v/>
      </c>
      <c r="P369" s="20">
        <f>N369/O369-1</f>
        <v/>
      </c>
    </row>
    <row r="370">
      <c r="A370" s="18" t="inlineStr">
        <is>
          <t>2025-06-11</t>
        </is>
      </c>
      <c r="B370" s="19" t="n">
        <v>-0.01919377505239706</v>
      </c>
      <c r="C370" s="19" t="n">
        <v>0.003609867551584545</v>
      </c>
      <c r="D370" s="19" t="n">
        <v>-0.001675303806612738</v>
      </c>
      <c r="E370" s="19" t="n">
        <v>-0.007606332080077771</v>
      </c>
      <c r="F370" s="19" t="n">
        <v>0.01949255031764108</v>
      </c>
      <c r="G370" s="19" t="n">
        <v>-0.00448273926379239</v>
      </c>
      <c r="H370" s="19" t="n">
        <v>-0.0202656295654623</v>
      </c>
      <c r="I370" s="19" t="n">
        <v>0.002609617684437016</v>
      </c>
      <c r="J370" s="19" t="n">
        <v>0.01274514755611356</v>
      </c>
      <c r="K370" s="19" t="n">
        <v>-0.008837402307643516</v>
      </c>
      <c r="L370" s="19" t="n">
        <v>-0.0028521635422879</v>
      </c>
      <c r="M370" s="20">
        <f>SUMPRODUCT($B$3:$K$3,B370:K370)</f>
        <v/>
      </c>
      <c r="N370" s="21">
        <f>N369*(1+M370)</f>
        <v/>
      </c>
      <c r="O370" s="21">
        <f>MAX(O369,N370)</f>
        <v/>
      </c>
      <c r="P370" s="20">
        <f>N370/O370-1</f>
        <v/>
      </c>
    </row>
    <row r="371">
      <c r="A371" s="18" t="inlineStr">
        <is>
          <t>2025-06-12</t>
        </is>
      </c>
      <c r="B371" s="19" t="n">
        <v>0.00211290957436594</v>
      </c>
      <c r="C371" s="19" t="n">
        <v>0.01322419807318065</v>
      </c>
      <c r="D371" s="19" t="n">
        <v>0.0003355297967708726</v>
      </c>
      <c r="E371" s="19" t="n">
        <v>0.009017082894621886</v>
      </c>
      <c r="F371" s="19" t="n">
        <v>0.003842324853355006</v>
      </c>
      <c r="G371" s="19" t="n">
        <v>0.006600296240681702</v>
      </c>
      <c r="H371" s="19" t="n">
        <v>0.0001876573428452044</v>
      </c>
      <c r="I371" s="19" t="n">
        <v>0.01150679997997739</v>
      </c>
      <c r="J371" s="19" t="n">
        <v>-0.0060034019930435</v>
      </c>
      <c r="K371" s="19" t="n">
        <v>-0.01326025916668983</v>
      </c>
      <c r="L371" s="19" t="n">
        <v>0.003974342743545911</v>
      </c>
      <c r="M371" s="20">
        <f>SUMPRODUCT($B$3:$K$3,B371:K371)</f>
        <v/>
      </c>
      <c r="N371" s="21">
        <f>N370*(1+M371)</f>
        <v/>
      </c>
      <c r="O371" s="21">
        <f>MAX(O370,N371)</f>
        <v/>
      </c>
      <c r="P371" s="20">
        <f>N371/O371-1</f>
        <v/>
      </c>
    </row>
    <row r="372">
      <c r="A372" s="18" t="inlineStr">
        <is>
          <t>2025-06-13</t>
        </is>
      </c>
      <c r="B372" s="19" t="n">
        <v>-0.01380513208918122</v>
      </c>
      <c r="C372" s="19" t="n">
        <v>-0.00816500586915303</v>
      </c>
      <c r="D372" s="19" t="n">
        <v>-0.01226492394160361</v>
      </c>
      <c r="E372" s="19" t="n">
        <v>0.002808646356861066</v>
      </c>
      <c r="F372" s="19" t="n">
        <v>0.02178081896017914</v>
      </c>
      <c r="G372" s="19" t="n">
        <v>-0.01777177107618111</v>
      </c>
      <c r="H372" s="19" t="n">
        <v>-0.005346085913907173</v>
      </c>
      <c r="I372" s="19" t="n">
        <v>0.01273015060644589</v>
      </c>
      <c r="J372" s="19" t="n">
        <v>-0.01083210683900071</v>
      </c>
      <c r="K372" s="19" t="n">
        <v>-0.003475376886157844</v>
      </c>
      <c r="L372" s="19" t="n">
        <v>-0.01117997179160313</v>
      </c>
      <c r="M372" s="20">
        <f>SUMPRODUCT($B$3:$K$3,B372:K372)</f>
        <v/>
      </c>
      <c r="N372" s="21">
        <f>N371*(1+M372)</f>
        <v/>
      </c>
      <c r="O372" s="21">
        <f>MAX(O371,N372)</f>
        <v/>
      </c>
      <c r="P372" s="20">
        <f>N372/O372-1</f>
        <v/>
      </c>
    </row>
    <row r="373">
      <c r="A373" s="18" t="inlineStr">
        <is>
          <t>2025-06-16</t>
        </is>
      </c>
      <c r="B373" s="19" t="n">
        <v>0.01002792246147233</v>
      </c>
      <c r="C373" s="19" t="n">
        <v>0.008800771441506372</v>
      </c>
      <c r="D373" s="19" t="n">
        <v>0.02041869223696691</v>
      </c>
      <c r="E373" s="19" t="n">
        <v>-0.01196686885906861</v>
      </c>
      <c r="F373" s="19" t="n">
        <v>0.003210839370824115</v>
      </c>
      <c r="G373" s="19" t="n">
        <v>0.003743561498505965</v>
      </c>
      <c r="H373" s="19" t="n">
        <v>0.01885902821732022</v>
      </c>
      <c r="I373" s="19" t="n">
        <v>-0.01337248873171726</v>
      </c>
      <c r="J373" s="19" t="n">
        <v>0.0150960152305244</v>
      </c>
      <c r="K373" s="19" t="n">
        <v>-0.01185774099991543</v>
      </c>
      <c r="L373" s="19" t="n">
        <v>0.009514168567761327</v>
      </c>
      <c r="M373" s="20">
        <f>SUMPRODUCT($B$3:$K$3,B373:K373)</f>
        <v/>
      </c>
      <c r="N373" s="21">
        <f>N372*(1+M373)</f>
        <v/>
      </c>
      <c r="O373" s="21">
        <f>MAX(O372,N373)</f>
        <v/>
      </c>
      <c r="P373" s="20">
        <f>N373/O373-1</f>
        <v/>
      </c>
    </row>
    <row r="374">
      <c r="A374" s="18" t="inlineStr">
        <is>
          <t>2025-06-17</t>
        </is>
      </c>
      <c r="B374" s="19" t="n">
        <v>-0.01401070140207472</v>
      </c>
      <c r="C374" s="19" t="n">
        <v>-0.0022958453323354</v>
      </c>
      <c r="D374" s="19" t="n">
        <v>-0.003106860847588822</v>
      </c>
      <c r="E374" s="19" t="n">
        <v>-0.01829661467973887</v>
      </c>
      <c r="F374" s="19" t="n">
        <v>0.01351345639657509</v>
      </c>
      <c r="G374" s="19" t="n">
        <v>-0.01466939764313691</v>
      </c>
      <c r="H374" s="19" t="n">
        <v>-0.005923177895162612</v>
      </c>
      <c r="I374" s="19" t="n">
        <v>-0.02602344738852702</v>
      </c>
      <c r="J374" s="19" t="n">
        <v>-0.01313329560441634</v>
      </c>
      <c r="K374" s="19" t="n">
        <v>-0.01529406583230075</v>
      </c>
      <c r="L374" s="19" t="n">
        <v>-0.008545079722505178</v>
      </c>
      <c r="M374" s="20">
        <f>SUMPRODUCT($B$3:$K$3,B374:K374)</f>
        <v/>
      </c>
      <c r="N374" s="21">
        <f>N373*(1+M374)</f>
        <v/>
      </c>
      <c r="O374" s="21">
        <f>MAX(O373,N374)</f>
        <v/>
      </c>
      <c r="P374" s="20">
        <f>N374/O374-1</f>
        <v/>
      </c>
    </row>
    <row r="375">
      <c r="A375" s="18" t="inlineStr">
        <is>
          <t>2025-06-18</t>
        </is>
      </c>
      <c r="B375" s="19" t="n">
        <v>0.004804701392514543</v>
      </c>
      <c r="C375" s="19" t="n">
        <v>0.004602127794275823</v>
      </c>
      <c r="D375" s="19" t="n">
        <v>0.0164738045925592</v>
      </c>
      <c r="E375" s="19" t="n">
        <v>-0.01082822887633594</v>
      </c>
      <c r="F375" s="19" t="n">
        <v>-0.007105145731074125</v>
      </c>
      <c r="G375" s="19" t="n">
        <v>-0.003154104571012395</v>
      </c>
      <c r="H375" s="19" t="n">
        <v>-0.01070665195670784</v>
      </c>
      <c r="I375" s="19" t="n">
        <v>-0.00403557291762402</v>
      </c>
      <c r="J375" s="19" t="n">
        <v>0.005927074782909214</v>
      </c>
      <c r="K375" s="19" t="n">
        <v>-0.004301174647065586</v>
      </c>
      <c r="L375" s="19" t="n">
        <v>-0.0001506719699877479</v>
      </c>
      <c r="M375" s="20">
        <f>SUMPRODUCT($B$3:$K$3,B375:K375)</f>
        <v/>
      </c>
      <c r="N375" s="21">
        <f>N374*(1+M375)</f>
        <v/>
      </c>
      <c r="O375" s="21">
        <f>MAX(O374,N375)</f>
        <v/>
      </c>
      <c r="P375" s="20">
        <f>N375/O375-1</f>
        <v/>
      </c>
    </row>
    <row r="376">
      <c r="A376" s="18" t="inlineStr">
        <is>
          <t>2025-06-20</t>
        </is>
      </c>
      <c r="B376" s="19" t="n">
        <v>0.02248457445269292</v>
      </c>
      <c r="C376" s="19" t="n">
        <v>-0.005913696609074259</v>
      </c>
      <c r="D376" s="19" t="n">
        <v>0.003796096743773125</v>
      </c>
      <c r="E376" s="19" t="n">
        <v>-0.006236300383904658</v>
      </c>
      <c r="F376" s="19" t="n">
        <v>0.01334027756631229</v>
      </c>
      <c r="G376" s="19" t="n">
        <v>0.006707979077310355</v>
      </c>
      <c r="H376" s="19" t="n">
        <v>-0.0133164020993829</v>
      </c>
      <c r="I376" s="19" t="n">
        <v>-0.0005588594978376271</v>
      </c>
      <c r="J376" s="19" t="n">
        <v>0.00200109997365594</v>
      </c>
      <c r="K376" s="19" t="n">
        <v>0.0007200088011014572</v>
      </c>
      <c r="L376" s="19" t="n">
        <v>-0.002348593653105802</v>
      </c>
      <c r="M376" s="20">
        <f>SUMPRODUCT($B$3:$K$3,B376:K376)</f>
        <v/>
      </c>
      <c r="N376" s="21">
        <f>N375*(1+M376)</f>
        <v/>
      </c>
      <c r="O376" s="21">
        <f>MAX(O375,N376)</f>
        <v/>
      </c>
      <c r="P376" s="20">
        <f>N376/O376-1</f>
        <v/>
      </c>
    </row>
    <row r="377">
      <c r="A377" s="18" t="inlineStr">
        <is>
          <t>2025-06-23</t>
        </is>
      </c>
      <c r="B377" s="19" t="n">
        <v>0.002487455926589721</v>
      </c>
      <c r="C377" s="19" t="n">
        <v>0.01801415335512768</v>
      </c>
      <c r="D377" s="19" t="n">
        <v>0.01189081248790425</v>
      </c>
      <c r="E377" s="19" t="n">
        <v>0.01021433246725656</v>
      </c>
      <c r="F377" s="19" t="n">
        <v>-0.02580651133436196</v>
      </c>
      <c r="G377" s="19" t="n">
        <v>0.01225805277876013</v>
      </c>
      <c r="H377" s="19" t="n">
        <v>-0.005818118205440093</v>
      </c>
      <c r="I377" s="19" t="n">
        <v>-0.01118399279766125</v>
      </c>
      <c r="J377" s="19" t="n">
        <v>0.01583838488438549</v>
      </c>
      <c r="K377" s="19" t="n">
        <v>0.0158273071223527</v>
      </c>
      <c r="L377" s="19" t="n">
        <v>0.009877341825690999</v>
      </c>
      <c r="M377" s="20">
        <f>SUMPRODUCT($B$3:$K$3,B377:K377)</f>
        <v/>
      </c>
      <c r="N377" s="21">
        <f>N376*(1+M377)</f>
        <v/>
      </c>
      <c r="O377" s="21">
        <f>MAX(O376,N377)</f>
        <v/>
      </c>
      <c r="P377" s="20">
        <f>N377/O377-1</f>
        <v/>
      </c>
    </row>
    <row r="378">
      <c r="A378" s="18" t="inlineStr">
        <is>
          <t>2025-06-24</t>
        </is>
      </c>
      <c r="B378" s="19" t="n">
        <v>-0.005955263842522429</v>
      </c>
      <c r="C378" s="19" t="n">
        <v>0.008456840208848071</v>
      </c>
      <c r="D378" s="19" t="n">
        <v>0.01074505019268268</v>
      </c>
      <c r="E378" s="19" t="n">
        <v>0.005749464045335939</v>
      </c>
      <c r="F378" s="19" t="n">
        <v>-0.03042773223022677</v>
      </c>
      <c r="G378" s="19" t="n">
        <v>-0.004160807152981949</v>
      </c>
      <c r="H378" s="19" t="n">
        <v>0.02062648355436747</v>
      </c>
      <c r="I378" s="19" t="n">
        <v>0.009472541717248539</v>
      </c>
      <c r="J378" s="19" t="n">
        <v>0.0185400950451704</v>
      </c>
      <c r="K378" s="19" t="n">
        <v>0.006373938715594551</v>
      </c>
      <c r="L378" s="19" t="n">
        <v>0.01104740640407553</v>
      </c>
      <c r="M378" s="20">
        <f>SUMPRODUCT($B$3:$K$3,B378:K378)</f>
        <v/>
      </c>
      <c r="N378" s="21">
        <f>N377*(1+M378)</f>
        <v/>
      </c>
      <c r="O378" s="21">
        <f>MAX(O377,N378)</f>
        <v/>
      </c>
      <c r="P378" s="20">
        <f>N378/O378-1</f>
        <v/>
      </c>
    </row>
    <row r="379">
      <c r="A379" s="18" t="inlineStr">
        <is>
          <t>2025-06-25</t>
        </is>
      </c>
      <c r="B379" s="19" t="n">
        <v>0.006290549791969635</v>
      </c>
      <c r="C379" s="19" t="n">
        <v>0.004407232371007597</v>
      </c>
      <c r="D379" s="19" t="n">
        <v>0.009955152037847359</v>
      </c>
      <c r="E379" s="19" t="n">
        <v>0.0005912403075316597</v>
      </c>
      <c r="F379" s="19" t="n">
        <v>0.0002769664747697131</v>
      </c>
      <c r="G379" s="19" t="n">
        <v>-0.008667829806782046</v>
      </c>
      <c r="H379" s="19" t="n">
        <v>-0.003665924536515042</v>
      </c>
      <c r="I379" s="19" t="n">
        <v>-0.01484597874468019</v>
      </c>
      <c r="J379" s="19" t="n">
        <v>-0.00386044309717648</v>
      </c>
      <c r="K379" s="19" t="n">
        <v>-0.01196353751181733</v>
      </c>
      <c r="L379" s="19" t="n">
        <v>0.0005603485498484329</v>
      </c>
      <c r="M379" s="20">
        <f>SUMPRODUCT($B$3:$K$3,B379:K379)</f>
        <v/>
      </c>
      <c r="N379" s="21">
        <f>N378*(1+M379)</f>
        <v/>
      </c>
      <c r="O379" s="21">
        <f>MAX(O378,N379)</f>
        <v/>
      </c>
      <c r="P379" s="20">
        <f>N379/O379-1</f>
        <v/>
      </c>
    </row>
    <row r="380">
      <c r="A380" s="18" t="inlineStr">
        <is>
          <t>2025-06-26</t>
        </is>
      </c>
      <c r="B380" s="19" t="n">
        <v>-0.002778280469326821</v>
      </c>
      <c r="C380" s="19" t="n">
        <v>0.01052263123879693</v>
      </c>
      <c r="D380" s="19" t="n">
        <v>0.01651081202069316</v>
      </c>
      <c r="E380" s="19" t="n">
        <v>-0.001772982484134489</v>
      </c>
      <c r="F380" s="19" t="n">
        <v>0.01494868509157254</v>
      </c>
      <c r="G380" s="19" t="n">
        <v>-0.002138798991593971</v>
      </c>
      <c r="H380" s="19" t="n">
        <v>0.02419920510917128</v>
      </c>
      <c r="I380" s="19" t="n">
        <v>0.009240803780474982</v>
      </c>
      <c r="J380" s="19" t="n">
        <v>0.02771959658538625</v>
      </c>
      <c r="K380" s="19" t="n">
        <v>-0.0004746810085615172</v>
      </c>
      <c r="L380" s="19" t="n">
        <v>0.007823774921469351</v>
      </c>
      <c r="M380" s="20">
        <f>SUMPRODUCT($B$3:$K$3,B380:K380)</f>
        <v/>
      </c>
      <c r="N380" s="21">
        <f>N379*(1+M380)</f>
        <v/>
      </c>
      <c r="O380" s="21">
        <f>MAX(O379,N380)</f>
        <v/>
      </c>
      <c r="P380" s="20">
        <f>N380/O380-1</f>
        <v/>
      </c>
    </row>
    <row r="381">
      <c r="A381" s="18" t="inlineStr">
        <is>
          <t>2025-06-27</t>
        </is>
      </c>
      <c r="B381" s="19" t="n">
        <v>0.0003979593844958274</v>
      </c>
      <c r="C381" s="19" t="n">
        <v>-0.003035458955880199</v>
      </c>
      <c r="D381" s="19" t="n">
        <v>-0.005679769817747093</v>
      </c>
      <c r="E381" s="19" t="n">
        <v>0.002631317465055627</v>
      </c>
      <c r="F381" s="19" t="n">
        <v>-0.00554592074242799</v>
      </c>
      <c r="G381" s="19" t="n">
        <v>0.007753725572768655</v>
      </c>
      <c r="H381" s="19" t="n">
        <v>0.02846355966079828</v>
      </c>
      <c r="I381" s="19" t="n">
        <v>-0.001408619395896871</v>
      </c>
      <c r="J381" s="19" t="n">
        <v>0.007410648755076465</v>
      </c>
      <c r="K381" s="19" t="n">
        <v>0.004988189800863019</v>
      </c>
      <c r="L381" s="19" t="n">
        <v>0.00496832451725937</v>
      </c>
      <c r="M381" s="20">
        <f>SUMPRODUCT($B$3:$K$3,B381:K381)</f>
        <v/>
      </c>
      <c r="N381" s="21">
        <f>N380*(1+M381)</f>
        <v/>
      </c>
      <c r="O381" s="21">
        <f>MAX(O380,N381)</f>
        <v/>
      </c>
      <c r="P381" s="20">
        <f>N381/O381-1</f>
        <v/>
      </c>
    </row>
    <row r="382">
      <c r="A382" s="18" t="inlineStr">
        <is>
          <t>2025-06-30</t>
        </is>
      </c>
      <c r="B382" s="19" t="n">
        <v>0.02034008675067733</v>
      </c>
      <c r="C382" s="19" t="n">
        <v>0.002964101424493881</v>
      </c>
      <c r="D382" s="19" t="n">
        <v>0.009752528421200113</v>
      </c>
      <c r="E382" s="19" t="n">
        <v>0.002230889251657375</v>
      </c>
      <c r="F382" s="19" t="n">
        <v>-0.01444497108854292</v>
      </c>
      <c r="G382" s="19" t="n">
        <v>-0.003377859331113786</v>
      </c>
      <c r="H382" s="19" t="n">
        <v>-0.01751009229141431</v>
      </c>
      <c r="I382" s="19" t="n">
        <v>-0.02073646083394365</v>
      </c>
      <c r="J382" s="19" t="n">
        <v>0.00909776445634769</v>
      </c>
      <c r="K382" s="19" t="n">
        <v>0.02268951007172015</v>
      </c>
      <c r="L382" s="19" t="n">
        <v>0.00478128084883922</v>
      </c>
      <c r="M382" s="20">
        <f>SUMPRODUCT($B$3:$K$3,B382:K382)</f>
        <v/>
      </c>
      <c r="N382" s="21">
        <f>N381*(1+M382)</f>
        <v/>
      </c>
      <c r="O382" s="21">
        <f>MAX(O381,N382)</f>
        <v/>
      </c>
      <c r="P382" s="20">
        <f>N382/O382-1</f>
        <v/>
      </c>
    </row>
    <row r="383">
      <c r="A383" s="18" t="inlineStr">
        <is>
          <t>2025-07-01</t>
        </is>
      </c>
      <c r="B383" s="19" t="n">
        <v>0.01291626321326245</v>
      </c>
      <c r="C383" s="19" t="n">
        <v>-0.0107759242954748</v>
      </c>
      <c r="D383" s="19" t="n">
        <v>0.001724633422423461</v>
      </c>
      <c r="E383" s="19" t="n">
        <v>0.02075285458503906</v>
      </c>
      <c r="F383" s="19" t="n">
        <v>0.01335797136123262</v>
      </c>
      <c r="G383" s="19" t="n">
        <v>0.01192561112317181</v>
      </c>
      <c r="H383" s="19" t="n">
        <v>0.00487719279454657</v>
      </c>
      <c r="I383" s="19" t="n">
        <v>0.05243458579883353</v>
      </c>
      <c r="J383" s="19" t="n">
        <v>0.006980771115363771</v>
      </c>
      <c r="K383" s="19" t="n">
        <v>0.009475495660194788</v>
      </c>
      <c r="L383" s="19" t="n">
        <v>-0.0003237169474282764</v>
      </c>
      <c r="M383" s="20">
        <f>SUMPRODUCT($B$3:$K$3,B383:K383)</f>
        <v/>
      </c>
      <c r="N383" s="21">
        <f>N382*(1+M383)</f>
        <v/>
      </c>
      <c r="O383" s="21">
        <f>MAX(O382,N383)</f>
        <v/>
      </c>
      <c r="P383" s="20">
        <f>N383/O383-1</f>
        <v/>
      </c>
    </row>
    <row r="384">
      <c r="A384" s="18" t="inlineStr">
        <is>
          <t>2025-07-02</t>
        </is>
      </c>
      <c r="B384" s="19" t="n">
        <v>0.02223070012920014</v>
      </c>
      <c r="C384" s="19" t="n">
        <v>-0.001950935854809988</v>
      </c>
      <c r="D384" s="19" t="n">
        <v>0.00547501908207404</v>
      </c>
      <c r="E384" s="19" t="n">
        <v>-0.002308889613101495</v>
      </c>
      <c r="F384" s="19" t="n">
        <v>0.01656906066127428</v>
      </c>
      <c r="G384" s="19" t="n">
        <v>-0.0001240905097540379</v>
      </c>
      <c r="H384" s="19" t="n">
        <v>-0.002449462616694653</v>
      </c>
      <c r="I384" s="19" t="n">
        <v>-0.0005475702463448862</v>
      </c>
      <c r="J384" s="19" t="n">
        <v>0.01921100642253726</v>
      </c>
      <c r="K384" s="19" t="n">
        <v>-0.00206043982089843</v>
      </c>
      <c r="L384" s="19" t="n">
        <v>0.004533304513562708</v>
      </c>
      <c r="M384" s="20">
        <f>SUMPRODUCT($B$3:$K$3,B384:K384)</f>
        <v/>
      </c>
      <c r="N384" s="21">
        <f>N383*(1+M384)</f>
        <v/>
      </c>
      <c r="O384" s="21">
        <f>MAX(O383,N384)</f>
        <v/>
      </c>
      <c r="P384" s="20">
        <f>N384/O384-1</f>
        <v/>
      </c>
    </row>
    <row r="385">
      <c r="A385" s="18" t="inlineStr">
        <is>
          <t>2025-07-03</t>
        </is>
      </c>
      <c r="B385" s="19" t="n">
        <v>0.005224999770848893</v>
      </c>
      <c r="C385" s="19" t="n">
        <v>0.01578120662915361</v>
      </c>
      <c r="D385" s="19" t="n">
        <v>0.01858217645795301</v>
      </c>
      <c r="E385" s="19" t="n">
        <v>0.002892866928929649</v>
      </c>
      <c r="F385" s="19" t="n">
        <v>0.01035564863259042</v>
      </c>
      <c r="G385" s="19" t="n">
        <v>-0.002295223531422419</v>
      </c>
      <c r="H385" s="19" t="n">
        <v>0.01586943216725101</v>
      </c>
      <c r="I385" s="19" t="n">
        <v>0.01177758547799401</v>
      </c>
      <c r="J385" s="19" t="n">
        <v>-0.001430493764685292</v>
      </c>
      <c r="K385" s="19" t="n">
        <v>-0.0009177262240266382</v>
      </c>
      <c r="L385" s="19" t="n">
        <v>0.00788132829242616</v>
      </c>
      <c r="M385" s="20">
        <f>SUMPRODUCT($B$3:$K$3,B385:K385)</f>
        <v/>
      </c>
      <c r="N385" s="21">
        <f>N384*(1+M385)</f>
        <v/>
      </c>
      <c r="O385" s="21">
        <f>MAX(O384,N385)</f>
        <v/>
      </c>
      <c r="P385" s="20">
        <f>N385/O385-1</f>
        <v/>
      </c>
    </row>
    <row r="386">
      <c r="A386" s="18" t="inlineStr">
        <is>
          <t>2025-07-07</t>
        </is>
      </c>
      <c r="B386" s="19" t="n">
        <v>-0.01685789198054122</v>
      </c>
      <c r="C386" s="19" t="n">
        <v>-0.002245213437374716</v>
      </c>
      <c r="D386" s="19" t="n">
        <v>-0.0136149537219552</v>
      </c>
      <c r="E386" s="19" t="n">
        <v>-0.00474336293884392</v>
      </c>
      <c r="F386" s="19" t="n">
        <v>-0.009714773476727667</v>
      </c>
      <c r="G386" s="19" t="n">
        <v>-0.002051819202337324</v>
      </c>
      <c r="H386" s="19" t="n">
        <v>0.0002685535903061975</v>
      </c>
      <c r="I386" s="19" t="n">
        <v>0.01177591534812961</v>
      </c>
      <c r="J386" s="19" t="n">
        <v>-0.01596032503703326</v>
      </c>
      <c r="K386" s="19" t="n">
        <v>-0.0172214612382332</v>
      </c>
      <c r="L386" s="19" t="n">
        <v>-0.007451977060185855</v>
      </c>
      <c r="M386" s="20">
        <f>SUMPRODUCT($B$3:$K$3,B386:K386)</f>
        <v/>
      </c>
      <c r="N386" s="21">
        <f>N385*(1+M386)</f>
        <v/>
      </c>
      <c r="O386" s="21">
        <f>MAX(O385,N386)</f>
        <v/>
      </c>
      <c r="P386" s="20">
        <f>N386/O386-1</f>
        <v/>
      </c>
    </row>
    <row r="387">
      <c r="A387" s="18" t="inlineStr">
        <is>
          <t>2025-07-08</t>
        </is>
      </c>
      <c r="B387" s="19" t="n">
        <v>0.000285764300465674</v>
      </c>
      <c r="C387" s="19" t="n">
        <v>-0.002210141050752346</v>
      </c>
      <c r="D387" s="19" t="n">
        <v>-0.0314758312464668</v>
      </c>
      <c r="E387" s="19" t="n">
        <v>0.003349024197496941</v>
      </c>
      <c r="F387" s="19" t="n">
        <v>0.02772036105678466</v>
      </c>
      <c r="G387" s="19" t="n">
        <v>-0.01626157814549845</v>
      </c>
      <c r="H387" s="19" t="n">
        <v>-0.01839173306439656</v>
      </c>
      <c r="I387" s="19" t="n">
        <v>-0.03063547142148815</v>
      </c>
      <c r="J387" s="19" t="n">
        <v>0.007100567147055425</v>
      </c>
      <c r="K387" s="19" t="n">
        <v>0.00607464861994611</v>
      </c>
      <c r="L387" s="19" t="n">
        <v>-0.0005477000385931685</v>
      </c>
      <c r="M387" s="20">
        <f>SUMPRODUCT($B$3:$K$3,B387:K387)</f>
        <v/>
      </c>
      <c r="N387" s="21">
        <f>N386*(1+M387)</f>
        <v/>
      </c>
      <c r="O387" s="21">
        <f>MAX(O386,N387)</f>
        <v/>
      </c>
      <c r="P387" s="20">
        <f>N387/O387-1</f>
        <v/>
      </c>
    </row>
    <row r="388">
      <c r="A388" s="18" t="inlineStr">
        <is>
          <t>2025-07-09</t>
        </is>
      </c>
      <c r="B388" s="19" t="n">
        <v>0.00538058800544583</v>
      </c>
      <c r="C388" s="19" t="n">
        <v>0.01387387515976068</v>
      </c>
      <c r="D388" s="19" t="n">
        <v>0.001343790068711659</v>
      </c>
      <c r="E388" s="19" t="n">
        <v>0.003145252430316825</v>
      </c>
      <c r="F388" s="19" t="n">
        <v>-0.003415411645192989</v>
      </c>
      <c r="G388" s="19" t="n">
        <v>-0.002343540359587282</v>
      </c>
      <c r="H388" s="19" t="n">
        <v>0.01449668429491768</v>
      </c>
      <c r="I388" s="19" t="n">
        <v>0.01642297701715401</v>
      </c>
      <c r="J388" s="19" t="n">
        <v>0.02001066930530526</v>
      </c>
      <c r="K388" s="19" t="n">
        <v>-0.01045053626018211</v>
      </c>
      <c r="L388" s="19" t="n">
        <v>0.005996687665528189</v>
      </c>
      <c r="M388" s="20">
        <f>SUMPRODUCT($B$3:$K$3,B388:K388)</f>
        <v/>
      </c>
      <c r="N388" s="21">
        <f>N387*(1+M388)</f>
        <v/>
      </c>
      <c r="O388" s="21">
        <f>MAX(O387,N388)</f>
        <v/>
      </c>
      <c r="P388" s="20">
        <f>N388/O388-1</f>
        <v/>
      </c>
    </row>
    <row r="389">
      <c r="A389" s="18" t="inlineStr">
        <is>
          <t>2025-07-10</t>
        </is>
      </c>
      <c r="B389" s="19" t="n">
        <v>0.006015156512581887</v>
      </c>
      <c r="C389" s="19" t="n">
        <v>-0.004031701755431882</v>
      </c>
      <c r="D389" s="19" t="n">
        <v>0.01776402473877492</v>
      </c>
      <c r="E389" s="19" t="n">
        <v>0.009022294302330369</v>
      </c>
      <c r="F389" s="19" t="n">
        <v>0.009929733002957297</v>
      </c>
      <c r="G389" s="19" t="n">
        <v>0.006157898583725396</v>
      </c>
      <c r="H389" s="19" t="n">
        <v>-0.001258195325533396</v>
      </c>
      <c r="I389" s="19" t="n">
        <v>0.01344191709264209</v>
      </c>
      <c r="J389" s="19" t="n">
        <v>0.01529163188198734</v>
      </c>
      <c r="K389" s="19" t="n">
        <v>0.002337170239643305</v>
      </c>
      <c r="L389" s="19" t="n">
        <v>0.002820322180916879</v>
      </c>
      <c r="M389" s="20">
        <f>SUMPRODUCT($B$3:$K$3,B389:K389)</f>
        <v/>
      </c>
      <c r="N389" s="21">
        <f>N388*(1+M389)</f>
        <v/>
      </c>
      <c r="O389" s="21">
        <f>MAX(O388,N389)</f>
        <v/>
      </c>
      <c r="P389" s="20">
        <f>N389/O389-1</f>
        <v/>
      </c>
    </row>
    <row r="390">
      <c r="A390" s="18" t="inlineStr">
        <is>
          <t>2025-07-11</t>
        </is>
      </c>
      <c r="B390" s="19" t="n">
        <v>-0.005884918858686472</v>
      </c>
      <c r="C390" s="19" t="n">
        <v>0.003669080886081089</v>
      </c>
      <c r="D390" s="19" t="n">
        <v>-0.004615296785296708</v>
      </c>
      <c r="E390" s="19" t="n">
        <v>-0.005009783245617516</v>
      </c>
      <c r="F390" s="19" t="n">
        <v>0.004350481274102425</v>
      </c>
      <c r="G390" s="19" t="n">
        <v>-0.009085620487848667</v>
      </c>
      <c r="H390" s="19" t="n">
        <v>0.01241793320362938</v>
      </c>
      <c r="I390" s="19" t="n">
        <v>-0.003215556745913783</v>
      </c>
      <c r="J390" s="19" t="n">
        <v>-0.005902036785477405</v>
      </c>
      <c r="K390" s="19" t="n">
        <v>-0.009754965717462705</v>
      </c>
      <c r="L390" s="19" t="n">
        <v>-0.00351563619828088</v>
      </c>
      <c r="M390" s="20">
        <f>SUMPRODUCT($B$3:$K$3,B390:K390)</f>
        <v/>
      </c>
      <c r="N390" s="21">
        <f>N389*(1+M390)</f>
        <v/>
      </c>
      <c r="O390" s="21">
        <f>MAX(O389,N390)</f>
        <v/>
      </c>
      <c r="P390" s="20">
        <f>N390/O390-1</f>
        <v/>
      </c>
    </row>
    <row r="391">
      <c r="A391" s="18" t="inlineStr">
        <is>
          <t>2025-07-14</t>
        </is>
      </c>
      <c r="B391" s="19" t="n">
        <v>-0.01202888174719485</v>
      </c>
      <c r="C391" s="19" t="n">
        <v>-0.0005959702540242473</v>
      </c>
      <c r="D391" s="19" t="n">
        <v>0.006414570281578991</v>
      </c>
      <c r="E391" s="19" t="n">
        <v>-0.0005098817895669017</v>
      </c>
      <c r="F391" s="19" t="n">
        <v>-0.01308160696763139</v>
      </c>
      <c r="G391" s="19" t="n">
        <v>-0.0209488990380946</v>
      </c>
      <c r="H391" s="19" t="n">
        <v>0.002977504916114482</v>
      </c>
      <c r="I391" s="19" t="n">
        <v>0.008602267133998698</v>
      </c>
      <c r="J391" s="19" t="n">
        <v>-0.0003694875322892699</v>
      </c>
      <c r="K391" s="19" t="n">
        <v>-0.0009609503048476631</v>
      </c>
      <c r="L391" s="19" t="n">
        <v>0.001908359461631814</v>
      </c>
      <c r="M391" s="20">
        <f>SUMPRODUCT($B$3:$K$3,B391:K391)</f>
        <v/>
      </c>
      <c r="N391" s="21">
        <f>N390*(1+M391)</f>
        <v/>
      </c>
      <c r="O391" s="21">
        <f>MAX(O390,N391)</f>
        <v/>
      </c>
      <c r="P391" s="20">
        <f>N391/O391-1</f>
        <v/>
      </c>
    </row>
    <row r="392">
      <c r="A392" s="18" t="inlineStr">
        <is>
          <t>2025-07-15</t>
        </is>
      </c>
      <c r="B392" s="19" t="n">
        <v>0.002348901888367338</v>
      </c>
      <c r="C392" s="19" t="n">
        <v>0.005566298294305438</v>
      </c>
      <c r="D392" s="19" t="n">
        <v>-0.007447314264488525</v>
      </c>
      <c r="E392" s="19" t="n">
        <v>-0.01052175188942928</v>
      </c>
      <c r="F392" s="19" t="n">
        <v>-0.008865812179883137</v>
      </c>
      <c r="G392" s="19" t="n">
        <v>-0.00702383603335166</v>
      </c>
      <c r="H392" s="19" t="n">
        <v>0.002924381474455062</v>
      </c>
      <c r="I392" s="19" t="n">
        <v>-0.004531010672138569</v>
      </c>
      <c r="J392" s="19" t="n">
        <v>-0.002784785927626654</v>
      </c>
      <c r="K392" s="19" t="n">
        <v>-0.007696173073920565</v>
      </c>
      <c r="L392" s="19" t="n">
        <v>-0.004273228812600283</v>
      </c>
      <c r="M392" s="20">
        <f>SUMPRODUCT($B$3:$K$3,B392:K392)</f>
        <v/>
      </c>
      <c r="N392" s="21">
        <f>N391*(1+M392)</f>
        <v/>
      </c>
      <c r="O392" s="21">
        <f>MAX(O391,N392)</f>
        <v/>
      </c>
      <c r="P392" s="20">
        <f>N392/O392-1</f>
        <v/>
      </c>
    </row>
    <row r="393">
      <c r="A393" s="18" t="inlineStr">
        <is>
          <t>2025-07-16</t>
        </is>
      </c>
      <c r="B393" s="19" t="n">
        <v>0.00502129368152282</v>
      </c>
      <c r="C393" s="19" t="n">
        <v>-0.0003954310350606782</v>
      </c>
      <c r="D393" s="19" t="n">
        <v>-0.002547482143149815</v>
      </c>
      <c r="E393" s="19" t="n">
        <v>0.06193210444142871</v>
      </c>
      <c r="F393" s="19" t="n">
        <v>-0.006022500094035599</v>
      </c>
      <c r="G393" s="19" t="n">
        <v>0.006877231158826991</v>
      </c>
      <c r="H393" s="19" t="n">
        <v>-0.01396069616478912</v>
      </c>
      <c r="I393" s="19" t="n">
        <v>0.0009371572086247504</v>
      </c>
      <c r="J393" s="19" t="n">
        <v>0.02036371823949779</v>
      </c>
      <c r="K393" s="19" t="n">
        <v>-0.0002422843114043838</v>
      </c>
      <c r="L393" s="19" t="n">
        <v>0.003343222494186504</v>
      </c>
      <c r="M393" s="20">
        <f>SUMPRODUCT($B$3:$K$3,B393:K393)</f>
        <v/>
      </c>
      <c r="N393" s="21">
        <f>N392*(1+M393)</f>
        <v/>
      </c>
      <c r="O393" s="21">
        <f>MAX(O392,N393)</f>
        <v/>
      </c>
      <c r="P393" s="20">
        <f>N393/O393-1</f>
        <v/>
      </c>
    </row>
    <row r="394">
      <c r="A394" s="18" t="inlineStr">
        <is>
          <t>2025-07-17</t>
        </is>
      </c>
      <c r="B394" s="19" t="n">
        <v>-0.0006662386552660493</v>
      </c>
      <c r="C394" s="19" t="n">
        <v>0.01202494456289727</v>
      </c>
      <c r="D394" s="19" t="n">
        <v>0.01427463073752389</v>
      </c>
      <c r="E394" s="19" t="n">
        <v>-0.01092362343735498</v>
      </c>
      <c r="F394" s="19" t="n">
        <v>-0.005078905252979271</v>
      </c>
      <c r="G394" s="19" t="n">
        <v>0.01229403214009062</v>
      </c>
      <c r="H394" s="19" t="n">
        <v>0.003091547264028494</v>
      </c>
      <c r="I394" s="19" t="n">
        <v>0.005483440774724624</v>
      </c>
      <c r="J394" s="19" t="n">
        <v>0.01257019851022645</v>
      </c>
      <c r="K394" s="19" t="n">
        <v>-0.007272661888698906</v>
      </c>
      <c r="L394" s="19" t="n">
        <v>0.006119571230611909</v>
      </c>
      <c r="M394" s="20">
        <f>SUMPRODUCT($B$3:$K$3,B394:K394)</f>
        <v/>
      </c>
      <c r="N394" s="21">
        <f>N393*(1+M394)</f>
        <v/>
      </c>
      <c r="O394" s="21">
        <f>MAX(O393,N394)</f>
        <v/>
      </c>
      <c r="P394" s="20">
        <f>N394/O394-1</f>
        <v/>
      </c>
    </row>
    <row r="395">
      <c r="A395" s="18" t="inlineStr">
        <is>
          <t>2025-07-18</t>
        </is>
      </c>
      <c r="B395" s="19" t="n">
        <v>0.005523275932808325</v>
      </c>
      <c r="C395" s="19" t="n">
        <v>-0.003224607503308996</v>
      </c>
      <c r="D395" s="19" t="n">
        <v>0.004725825418246288</v>
      </c>
      <c r="E395" s="19" t="n">
        <v>0.004417648878065394</v>
      </c>
      <c r="F395" s="19" t="n">
        <v>-0.03483793587601836</v>
      </c>
      <c r="G395" s="19" t="n">
        <v>0.003474465387713011</v>
      </c>
      <c r="H395" s="19" t="n">
        <v>0.01005002658088094</v>
      </c>
      <c r="I395" s="19" t="n">
        <v>0.01024196419478662</v>
      </c>
      <c r="J395" s="19" t="n">
        <v>-0.0104288678501725</v>
      </c>
      <c r="K395" s="19" t="n">
        <v>-0.002686297781478109</v>
      </c>
      <c r="L395" s="19" t="n">
        <v>-0.0007322815495487411</v>
      </c>
      <c r="M395" s="20">
        <f>SUMPRODUCT($B$3:$K$3,B395:K395)</f>
        <v/>
      </c>
      <c r="N395" s="21">
        <f>N394*(1+M395)</f>
        <v/>
      </c>
      <c r="O395" s="21">
        <f>MAX(O394,N395)</f>
        <v/>
      </c>
      <c r="P395" s="20">
        <f>N395/O395-1</f>
        <v/>
      </c>
    </row>
    <row r="396">
      <c r="A396" s="18" t="inlineStr">
        <is>
          <t>2025-07-21</t>
        </is>
      </c>
      <c r="B396" s="19" t="n">
        <v>0.006155957704908399</v>
      </c>
      <c r="C396" s="19" t="n">
        <v>1.963779210290006e-05</v>
      </c>
      <c r="D396" s="19" t="n">
        <v>-0.001029986312052089</v>
      </c>
      <c r="E396" s="19" t="n">
        <v>0.00403193286218273</v>
      </c>
      <c r="F396" s="19" t="n">
        <v>0.002598300723090752</v>
      </c>
      <c r="G396" s="19" t="n">
        <v>-0.0004512741405333642</v>
      </c>
      <c r="H396" s="19" t="n">
        <v>0.01401847654223554</v>
      </c>
      <c r="I396" s="19" t="n">
        <v>0.002896727539322796</v>
      </c>
      <c r="J396" s="19" t="n">
        <v>-0.005167306989818821</v>
      </c>
      <c r="K396" s="19" t="n">
        <v>0.04040160420555639</v>
      </c>
      <c r="L396" s="19" t="n">
        <v>0.00189612021372576</v>
      </c>
      <c r="M396" s="20">
        <f>SUMPRODUCT($B$3:$K$3,B396:K396)</f>
        <v/>
      </c>
      <c r="N396" s="21">
        <f>N395*(1+M396)</f>
        <v/>
      </c>
      <c r="O396" s="21">
        <f>MAX(O395,N396)</f>
        <v/>
      </c>
      <c r="P396" s="20">
        <f>N396/O396-1</f>
        <v/>
      </c>
    </row>
    <row r="397">
      <c r="A397" s="18" t="inlineStr">
        <is>
          <t>2025-07-22</t>
        </is>
      </c>
      <c r="B397" s="19" t="n">
        <v>0.009036079373582862</v>
      </c>
      <c r="C397" s="19" t="n">
        <v>-0.009391091155209419</v>
      </c>
      <c r="D397" s="19" t="n">
        <v>0.001580883685120105</v>
      </c>
      <c r="E397" s="19" t="n">
        <v>0.02172042504857341</v>
      </c>
      <c r="F397" s="19" t="n">
        <v>0.004534875679947259</v>
      </c>
      <c r="G397" s="19" t="n">
        <v>0.02122179073797592</v>
      </c>
      <c r="H397" s="19" t="n">
        <v>-0.007980819043607368</v>
      </c>
      <c r="I397" s="19" t="n">
        <v>0.01798610978429083</v>
      </c>
      <c r="J397" s="19" t="n">
        <v>0.01736283140919404</v>
      </c>
      <c r="K397" s="19" t="n">
        <v>0.0110613650684952</v>
      </c>
      <c r="L397" s="19" t="n">
        <v>0.0001431574572638983</v>
      </c>
      <c r="M397" s="20">
        <f>SUMPRODUCT($B$3:$K$3,B397:K397)</f>
        <v/>
      </c>
      <c r="N397" s="21">
        <f>N396*(1+M397)</f>
        <v/>
      </c>
      <c r="O397" s="21">
        <f>MAX(O396,N397)</f>
        <v/>
      </c>
      <c r="P397" s="20">
        <f>N397/O397-1</f>
        <v/>
      </c>
    </row>
    <row r="398">
      <c r="A398" s="18" t="inlineStr">
        <is>
          <t>2025-07-23</t>
        </is>
      </c>
      <c r="B398" s="19" t="n">
        <v>-0.001166030850294431</v>
      </c>
      <c r="C398" s="19" t="n">
        <v>0.001187584417916554</v>
      </c>
      <c r="D398" s="19" t="n">
        <v>0.01828913578910929</v>
      </c>
      <c r="E398" s="19" t="n">
        <v>0.006967299497102619</v>
      </c>
      <c r="F398" s="19" t="n">
        <v>0.01280626164690912</v>
      </c>
      <c r="G398" s="19" t="n">
        <v>-0.0002527962609965018</v>
      </c>
      <c r="H398" s="19" t="n">
        <v>0.003604836070819184</v>
      </c>
      <c r="I398" s="19" t="n">
        <v>-0.06087178889282285</v>
      </c>
      <c r="J398" s="19" t="n">
        <v>0.02492869333958447</v>
      </c>
      <c r="K398" s="19" t="n">
        <v>-0.002793309073302663</v>
      </c>
      <c r="L398" s="19" t="n">
        <v>0.008507254584785295</v>
      </c>
      <c r="M398" s="20">
        <f>SUMPRODUCT($B$3:$K$3,B398:K398)</f>
        <v/>
      </c>
      <c r="N398" s="21">
        <f>N397*(1+M398)</f>
        <v/>
      </c>
      <c r="O398" s="21">
        <f>MAX(O397,N398)</f>
        <v/>
      </c>
      <c r="P398" s="20">
        <f>N398/O398-1</f>
        <v/>
      </c>
    </row>
    <row r="399">
      <c r="A399" s="18" t="inlineStr">
        <is>
          <t>2025-07-24</t>
        </is>
      </c>
      <c r="B399" s="19" t="n">
        <v>-0.001821145941549474</v>
      </c>
      <c r="C399" s="19" t="n">
        <v>0.009903744915802148</v>
      </c>
      <c r="D399" s="19" t="n">
        <v>-0.0007077361122115322</v>
      </c>
      <c r="E399" s="19" t="n">
        <v>0.002720252932309375</v>
      </c>
      <c r="F399" s="19" t="n">
        <v>0.007823234034909587</v>
      </c>
      <c r="G399" s="19" t="n">
        <v>0.00334841265233754</v>
      </c>
      <c r="H399" s="19" t="n">
        <v>0.01725876103762425</v>
      </c>
      <c r="I399" s="19" t="n">
        <v>-0.01167253387078959</v>
      </c>
      <c r="J399" s="19" t="n">
        <v>0.004513738785596244</v>
      </c>
      <c r="K399" s="19" t="n">
        <v>0.005602267009875206</v>
      </c>
      <c r="L399" s="19" t="n">
        <v>0.0003312664621191175</v>
      </c>
      <c r="M399" s="20">
        <f>SUMPRODUCT($B$3:$K$3,B399:K399)</f>
        <v/>
      </c>
      <c r="N399" s="21">
        <f>N398*(1+M399)</f>
        <v/>
      </c>
      <c r="O399" s="21">
        <f>MAX(O398,N399)</f>
        <v/>
      </c>
      <c r="P399" s="20">
        <f>N399/O399-1</f>
        <v/>
      </c>
    </row>
    <row r="400">
      <c r="A400" s="18" t="inlineStr">
        <is>
          <t>2025-07-25</t>
        </is>
      </c>
      <c r="B400" s="19" t="n">
        <v>0.0005613418379564195</v>
      </c>
      <c r="C400" s="19" t="n">
        <v>0.005539537379525505</v>
      </c>
      <c r="D400" s="19" t="n">
        <v>0.006980327823806753</v>
      </c>
      <c r="E400" s="19" t="n">
        <v>-0.007430901542084034</v>
      </c>
      <c r="F400" s="19" t="n">
        <v>-0.003520226228227785</v>
      </c>
      <c r="G400" s="19" t="n">
        <v>-0.003211328945005087</v>
      </c>
      <c r="H400" s="19" t="n">
        <v>-0.003401771091877559</v>
      </c>
      <c r="I400" s="19" t="n">
        <v>-0.001667370012836122</v>
      </c>
      <c r="J400" s="19" t="n">
        <v>0.009848124769247679</v>
      </c>
      <c r="K400" s="19" t="n">
        <v>0</v>
      </c>
      <c r="L400" s="19" t="n">
        <v>0.004224296491786017</v>
      </c>
      <c r="M400" s="20">
        <f>SUMPRODUCT($B$3:$K$3,B400:K400)</f>
        <v/>
      </c>
      <c r="N400" s="21">
        <f>N399*(1+M400)</f>
        <v/>
      </c>
      <c r="O400" s="21">
        <f>MAX(O399,N400)</f>
        <v/>
      </c>
      <c r="P400" s="20">
        <f>N400/O400-1</f>
        <v/>
      </c>
    </row>
    <row r="401">
      <c r="A401" s="18" t="inlineStr">
        <is>
          <t>2025-07-28</t>
        </is>
      </c>
      <c r="B401" s="19" t="n">
        <v>0.0007950151332456468</v>
      </c>
      <c r="C401" s="19" t="n">
        <v>-0.002355523436387341</v>
      </c>
      <c r="D401" s="19" t="n">
        <v>-0.001138572572440766</v>
      </c>
      <c r="E401" s="19" t="n">
        <v>-0.01235895277440002</v>
      </c>
      <c r="F401" s="19" t="n">
        <v>0.009420360222287316</v>
      </c>
      <c r="G401" s="19" t="n">
        <v>-0.007517274281334752</v>
      </c>
      <c r="H401" s="19" t="n">
        <v>0.005833005662313484</v>
      </c>
      <c r="I401" s="19" t="n">
        <v>-0.007098267891417431</v>
      </c>
      <c r="J401" s="19" t="n">
        <v>-0.001867485484676967</v>
      </c>
      <c r="K401" s="19" t="n">
        <v>-0.01671307479426165</v>
      </c>
      <c r="L401" s="19" t="n">
        <v>-0.0002511098453120697</v>
      </c>
      <c r="M401" s="20">
        <f>SUMPRODUCT($B$3:$K$3,B401:K401)</f>
        <v/>
      </c>
      <c r="N401" s="21">
        <f>N400*(1+M401)</f>
        <v/>
      </c>
      <c r="O401" s="21">
        <f>MAX(O400,N401)</f>
        <v/>
      </c>
      <c r="P401" s="20">
        <f>N401/O401-1</f>
        <v/>
      </c>
    </row>
    <row r="402">
      <c r="A402" s="18" t="inlineStr">
        <is>
          <t>2025-07-29</t>
        </is>
      </c>
      <c r="B402" s="19" t="n">
        <v>-0.01298770603652732</v>
      </c>
      <c r="C402" s="19" t="n">
        <v>0.0001365067114698082</v>
      </c>
      <c r="D402" s="19" t="n">
        <v>-0.004157002653858544</v>
      </c>
      <c r="E402" s="19" t="n">
        <v>0.01137041971835973</v>
      </c>
      <c r="F402" s="19" t="n">
        <v>0.01292165580921001</v>
      </c>
      <c r="G402" s="19" t="n">
        <v>-0.003182590600555146</v>
      </c>
      <c r="H402" s="19" t="n">
        <v>-0.007646371539299701</v>
      </c>
      <c r="I402" s="19" t="n">
        <v>0.008550611294869226</v>
      </c>
      <c r="J402" s="19" t="n">
        <v>-0.006675312935299105</v>
      </c>
      <c r="K402" s="19" t="n">
        <v>0.008262533924549897</v>
      </c>
      <c r="L402" s="19" t="n">
        <v>-0.002637607015591792</v>
      </c>
      <c r="M402" s="20">
        <f>SUMPRODUCT($B$3:$K$3,B402:K402)</f>
        <v/>
      </c>
      <c r="N402" s="21">
        <f>N401*(1+M402)</f>
        <v/>
      </c>
      <c r="O402" s="21">
        <f>MAX(O401,N402)</f>
        <v/>
      </c>
      <c r="P402" s="20">
        <f>N402/O402-1</f>
        <v/>
      </c>
    </row>
    <row r="403">
      <c r="A403" s="18" t="inlineStr">
        <is>
          <t>2025-07-30</t>
        </is>
      </c>
      <c r="B403" s="19" t="n">
        <v>-0.01050794331599192</v>
      </c>
      <c r="C403" s="19" t="n">
        <v>0.001307219095055157</v>
      </c>
      <c r="D403" s="19" t="n">
        <v>0.008719259831953652</v>
      </c>
      <c r="E403" s="19" t="n">
        <v>-0.005056219011013274</v>
      </c>
      <c r="F403" s="19" t="n">
        <v>-0.008681668798125819</v>
      </c>
      <c r="G403" s="19" t="n">
        <v>-0.02381700787009866</v>
      </c>
      <c r="H403" s="19" t="n">
        <v>-0.003549595623255408</v>
      </c>
      <c r="I403" s="19" t="n">
        <v>-0.01334255999067813</v>
      </c>
      <c r="J403" s="19" t="n">
        <v>0.009464018742445957</v>
      </c>
      <c r="K403" s="19" t="n">
        <v>-0.002575505182402682</v>
      </c>
      <c r="L403" s="19" t="n">
        <v>-0.001259380593541026</v>
      </c>
      <c r="M403" s="20">
        <f>SUMPRODUCT($B$3:$K$3,B403:K403)</f>
        <v/>
      </c>
      <c r="N403" s="21">
        <f>N402*(1+M403)</f>
        <v/>
      </c>
      <c r="O403" s="21">
        <f>MAX(O402,N403)</f>
        <v/>
      </c>
      <c r="P403" s="20">
        <f>N403/O403-1</f>
        <v/>
      </c>
    </row>
    <row r="404">
      <c r="A404" s="18" t="inlineStr">
        <is>
          <t>2025-07-31</t>
        </is>
      </c>
      <c r="B404" s="19" t="n">
        <v>-0.00707959071771691</v>
      </c>
      <c r="C404" s="19" t="n">
        <v>0.03947462444222527</v>
      </c>
      <c r="D404" s="19" t="n">
        <v>-0.01131402616844079</v>
      </c>
      <c r="E404" s="19" t="n">
        <v>-0.01506626287745294</v>
      </c>
      <c r="F404" s="19" t="n">
        <v>-0.00232360877863147</v>
      </c>
      <c r="G404" s="19" t="n">
        <v>-0.01576400777936271</v>
      </c>
      <c r="H404" s="19" t="n">
        <v>0.01702940235183825</v>
      </c>
      <c r="I404" s="19" t="n">
        <v>0.0009861338505958717</v>
      </c>
      <c r="J404" s="19" t="n">
        <v>0.008983755246009251</v>
      </c>
      <c r="K404" s="19" t="n">
        <v>0.003755853903109063</v>
      </c>
      <c r="L404" s="19" t="n">
        <v>-0.003751118412482213</v>
      </c>
      <c r="M404" s="20">
        <f>SUMPRODUCT($B$3:$K$3,B404:K404)</f>
        <v/>
      </c>
      <c r="N404" s="21">
        <f>N403*(1+M404)</f>
        <v/>
      </c>
      <c r="O404" s="21">
        <f>MAX(O403,N404)</f>
        <v/>
      </c>
      <c r="P404" s="20">
        <f>N404/O404-1</f>
        <v/>
      </c>
    </row>
    <row r="405">
      <c r="A405" s="18" t="inlineStr">
        <is>
          <t>2025-08-01</t>
        </is>
      </c>
      <c r="B405" s="19" t="n">
        <v>-0.02500362316753035</v>
      </c>
      <c r="C405" s="19" t="n">
        <v>-0.01760065069919547</v>
      </c>
      <c r="D405" s="19" t="n">
        <v>-0.02319051436581654</v>
      </c>
      <c r="E405" s="19" t="n">
        <v>0.01572176104560374</v>
      </c>
      <c r="F405" s="19" t="n">
        <v>-0.01791468524261919</v>
      </c>
      <c r="G405" s="19" t="n">
        <v>0.001196200094347288</v>
      </c>
      <c r="H405" s="19" t="n">
        <v>-0.08269617085933045</v>
      </c>
      <c r="I405" s="19" t="n">
        <v>-0.009287862635132815</v>
      </c>
      <c r="J405" s="19" t="n">
        <v>-0.02130039862236821</v>
      </c>
      <c r="K405" s="19" t="n">
        <v>0.002806374012477297</v>
      </c>
      <c r="L405" s="19" t="n">
        <v>-0.01639040208715981</v>
      </c>
      <c r="M405" s="20">
        <f>SUMPRODUCT($B$3:$K$3,B405:K405)</f>
        <v/>
      </c>
      <c r="N405" s="21">
        <f>N404*(1+M405)</f>
        <v/>
      </c>
      <c r="O405" s="21">
        <f>MAX(O404,N405)</f>
        <v/>
      </c>
      <c r="P405" s="20">
        <f>N405/O405-1</f>
        <v/>
      </c>
    </row>
    <row r="406">
      <c r="A406" s="18" t="inlineStr">
        <is>
          <t>2025-08-04</t>
        </is>
      </c>
      <c r="B406" s="19" t="n">
        <v>0.004793027431132968</v>
      </c>
      <c r="C406" s="19" t="n">
        <v>0.02199902951511268</v>
      </c>
      <c r="D406" s="19" t="n">
        <v>0.01689870995346854</v>
      </c>
      <c r="E406" s="19" t="n">
        <v>0.02217152965003555</v>
      </c>
      <c r="F406" s="19" t="n">
        <v>-0.02070411195094846</v>
      </c>
      <c r="G406" s="19" t="n">
        <v>0.0007301667403472045</v>
      </c>
      <c r="H406" s="19" t="n">
        <v>-0.01443541840985141</v>
      </c>
      <c r="I406" s="19" t="n">
        <v>0.001846450584948922</v>
      </c>
      <c r="J406" s="19" t="n">
        <v>0.01168675981328526</v>
      </c>
      <c r="K406" s="19" t="n">
        <v>0.001632486025218149</v>
      </c>
      <c r="L406" s="19" t="n">
        <v>0.01519969551254152</v>
      </c>
      <c r="M406" s="20">
        <f>SUMPRODUCT($B$3:$K$3,B406:K406)</f>
        <v/>
      </c>
      <c r="N406" s="21">
        <f>N405*(1+M406)</f>
        <v/>
      </c>
      <c r="O406" s="21">
        <f>MAX(O405,N406)</f>
        <v/>
      </c>
      <c r="P406" s="20">
        <f>N406/O406-1</f>
        <v/>
      </c>
    </row>
    <row r="407">
      <c r="A407" s="18" t="inlineStr">
        <is>
          <t>2025-08-05</t>
        </is>
      </c>
      <c r="B407" s="19" t="n">
        <v>-0.002114585421748583</v>
      </c>
      <c r="C407" s="19" t="n">
        <v>-0.01472988046176638</v>
      </c>
      <c r="D407" s="19" t="n">
        <v>-0.009821367231387379</v>
      </c>
      <c r="E407" s="19" t="n">
        <v>-0.001753756263809025</v>
      </c>
      <c r="F407" s="19" t="n">
        <v>-0.001210784729013592</v>
      </c>
      <c r="G407" s="19" t="n">
        <v>-0.001658372719294698</v>
      </c>
      <c r="H407" s="19" t="n">
        <v>0.009922070229506863</v>
      </c>
      <c r="I407" s="19" t="n">
        <v>0.009216022435500681</v>
      </c>
      <c r="J407" s="19" t="n">
        <v>0.001222035518406939</v>
      </c>
      <c r="K407" s="19" t="n">
        <v>-0.006519301432390434</v>
      </c>
      <c r="L407" s="19" t="n">
        <v>-0.00506997011593413</v>
      </c>
      <c r="M407" s="20">
        <f>SUMPRODUCT($B$3:$K$3,B407:K407)</f>
        <v/>
      </c>
      <c r="N407" s="21">
        <f>N406*(1+M407)</f>
        <v/>
      </c>
      <c r="O407" s="21">
        <f>MAX(O406,N407)</f>
        <v/>
      </c>
      <c r="P407" s="20">
        <f>N407/O407-1</f>
        <v/>
      </c>
    </row>
    <row r="408">
      <c r="A408" s="18" t="inlineStr">
        <is>
          <t>2025-08-06</t>
        </is>
      </c>
      <c r="B408" s="19" t="n">
        <v>0.05090670652581752</v>
      </c>
      <c r="C408" s="19" t="n">
        <v>-0.005324561260076521</v>
      </c>
      <c r="D408" s="19" t="n">
        <v>-6.852833897663668e-05</v>
      </c>
      <c r="E408" s="19" t="n">
        <v>-0.0008786487974018486</v>
      </c>
      <c r="F408" s="19" t="n">
        <v>-0.00680714471643884</v>
      </c>
      <c r="G408" s="19" t="n">
        <v>0.01561357563927368</v>
      </c>
      <c r="H408" s="19" t="n">
        <v>0.04004677220394726</v>
      </c>
      <c r="I408" s="19" t="n">
        <v>-0.008991299273135578</v>
      </c>
      <c r="J408" s="19" t="n">
        <v>-0.01499201278351747</v>
      </c>
      <c r="K408" s="19" t="n">
        <v>-0.007499385413703985</v>
      </c>
      <c r="L408" s="19" t="n">
        <v>0.007659865067447091</v>
      </c>
      <c r="M408" s="20">
        <f>SUMPRODUCT($B$3:$K$3,B408:K408)</f>
        <v/>
      </c>
      <c r="N408" s="21">
        <f>N407*(1+M408)</f>
        <v/>
      </c>
      <c r="O408" s="21">
        <f>MAX(O407,N408)</f>
        <v/>
      </c>
      <c r="P408" s="20">
        <f>N408/O408-1</f>
        <v/>
      </c>
    </row>
    <row r="409">
      <c r="A409" s="18" t="inlineStr">
        <is>
          <t>2025-08-07</t>
        </is>
      </c>
      <c r="B409" s="19" t="n">
        <v>0.03179360400657671</v>
      </c>
      <c r="C409" s="19" t="n">
        <v>-0.00781043138845372</v>
      </c>
      <c r="D409" s="19" t="n">
        <v>-0.0151364068940818</v>
      </c>
      <c r="E409" s="19" t="n">
        <v>0.005510181480534948</v>
      </c>
      <c r="F409" s="19" t="n">
        <v>-0.005257852912091132</v>
      </c>
      <c r="G409" s="19" t="n">
        <v>0.004121395166454711</v>
      </c>
      <c r="H409" s="19" t="n">
        <v>0.00368857601198358</v>
      </c>
      <c r="I409" s="19" t="n">
        <v>0.02891979995427518</v>
      </c>
      <c r="J409" s="19" t="n">
        <v>-0.0247826337049375</v>
      </c>
      <c r="K409" s="19" t="n">
        <v>0.01416771619840618</v>
      </c>
      <c r="L409" s="19" t="n">
        <v>-0.000837761014518934</v>
      </c>
      <c r="M409" s="20">
        <f>SUMPRODUCT($B$3:$K$3,B409:K409)</f>
        <v/>
      </c>
      <c r="N409" s="21">
        <f>N408*(1+M409)</f>
        <v/>
      </c>
      <c r="O409" s="21">
        <f>MAX(O408,N409)</f>
        <v/>
      </c>
      <c r="P409" s="20">
        <f>N409/O409-1</f>
        <v/>
      </c>
    </row>
    <row r="410">
      <c r="A410" s="18" t="inlineStr">
        <is>
          <t>2025-08-08</t>
        </is>
      </c>
      <c r="B410" s="19" t="n">
        <v>0.04235788397472207</v>
      </c>
      <c r="C410" s="19" t="n">
        <v>0.002303928773712993</v>
      </c>
      <c r="D410" s="19" t="n">
        <v>0.006342760762549027</v>
      </c>
      <c r="E410" s="19" t="n">
        <v>0.01049403621119183</v>
      </c>
      <c r="F410" s="19" t="n">
        <v>0.008022733721312569</v>
      </c>
      <c r="G410" s="19" t="n">
        <v>0.0001303756414912094</v>
      </c>
      <c r="H410" s="19" t="n">
        <v>-0.001971955504762035</v>
      </c>
      <c r="I410" s="19" t="n">
        <v>-0.002342291448445777</v>
      </c>
      <c r="J410" s="19" t="n">
        <v>-0.001438405462766634</v>
      </c>
      <c r="K410" s="19" t="n">
        <v>0.004656535441229348</v>
      </c>
      <c r="L410" s="19" t="n">
        <v>0.007797543710129862</v>
      </c>
      <c r="M410" s="20">
        <f>SUMPRODUCT($B$3:$K$3,B410:K410)</f>
        <v/>
      </c>
      <c r="N410" s="21">
        <f>N409*(1+M410)</f>
        <v/>
      </c>
      <c r="O410" s="21">
        <f>MAX(O409,N410)</f>
        <v/>
      </c>
      <c r="P410" s="20">
        <f>N410/O410-1</f>
        <v/>
      </c>
    </row>
    <row r="411">
      <c r="A411" s="18" t="inlineStr">
        <is>
          <t>2025-08-11</t>
        </is>
      </c>
      <c r="B411" s="19" t="n">
        <v>-0.008337329976643049</v>
      </c>
      <c r="C411" s="19" t="n">
        <v>-0.0005170389055541014</v>
      </c>
      <c r="D411" s="19" t="n">
        <v>0.002770325368095738</v>
      </c>
      <c r="E411" s="19" t="n">
        <v>0.002826970729844724</v>
      </c>
      <c r="F411" s="19" t="n">
        <v>-0.009082351530680155</v>
      </c>
      <c r="G411" s="19" t="n">
        <v>0.009575937390195355</v>
      </c>
      <c r="H411" s="19" t="n">
        <v>-0.006241858073597895</v>
      </c>
      <c r="I411" s="19" t="n">
        <v>0.000552376354316042</v>
      </c>
      <c r="J411" s="19" t="n">
        <v>-0.01915875673156142</v>
      </c>
      <c r="K411" s="19" t="n">
        <v>0.0006952995596436473</v>
      </c>
      <c r="L411" s="19" t="n">
        <v>-0.001977460235009665</v>
      </c>
      <c r="M411" s="20">
        <f>SUMPRODUCT($B$3:$K$3,B411:K411)</f>
        <v/>
      </c>
      <c r="N411" s="21">
        <f>N410*(1+M411)</f>
        <v/>
      </c>
      <c r="O411" s="21">
        <f>MAX(O410,N411)</f>
        <v/>
      </c>
      <c r="P411" s="20">
        <f>N411/O411-1</f>
        <v/>
      </c>
    </row>
    <row r="412">
      <c r="A412" s="18" t="inlineStr">
        <is>
          <t>2025-08-12</t>
        </is>
      </c>
      <c r="B412" s="19" t="n">
        <v>0.01087242519098264</v>
      </c>
      <c r="C412" s="19" t="n">
        <v>0.01431647454820739</v>
      </c>
      <c r="D412" s="19" t="n">
        <v>0.01136228154312668</v>
      </c>
      <c r="E412" s="19" t="n">
        <v>-0.005983234825917005</v>
      </c>
      <c r="F412" s="19" t="n">
        <v>0.002834679720723265</v>
      </c>
      <c r="G412" s="19" t="n">
        <v>0.0007097665827744404</v>
      </c>
      <c r="H412" s="19" t="n">
        <v>0.0007681796954406295</v>
      </c>
      <c r="I412" s="19" t="n">
        <v>-0.00814362633728849</v>
      </c>
      <c r="J412" s="19" t="n">
        <v>0.01020703881159002</v>
      </c>
      <c r="K412" s="19" t="n">
        <v>0.001621144014064768</v>
      </c>
      <c r="L412" s="19" t="n">
        <v>0.01064595638107524</v>
      </c>
      <c r="M412" s="20">
        <f>SUMPRODUCT($B$3:$K$3,B412:K412)</f>
        <v/>
      </c>
      <c r="N412" s="21">
        <f>N411*(1+M412)</f>
        <v/>
      </c>
      <c r="O412" s="21">
        <f>MAX(O411,N412)</f>
        <v/>
      </c>
      <c r="P412" s="20">
        <f>N412/O412-1</f>
        <v/>
      </c>
    </row>
    <row r="413">
      <c r="A413" s="18" t="inlineStr">
        <is>
          <t>2025-08-13</t>
        </is>
      </c>
      <c r="B413" s="19" t="n">
        <v>0.01602439381095677</v>
      </c>
      <c r="C413" s="19" t="n">
        <v>-0.01636301634065485</v>
      </c>
      <c r="D413" s="19" t="n">
        <v>-0.007922174814610328</v>
      </c>
      <c r="E413" s="19" t="n">
        <v>0.009491802331742738</v>
      </c>
      <c r="F413" s="19" t="n">
        <v>0.01385089986576293</v>
      </c>
      <c r="G413" s="19" t="n">
        <v>0.002063375495144903</v>
      </c>
      <c r="H413" s="19" t="n">
        <v>0.01395221168040406</v>
      </c>
      <c r="I413" s="19" t="n">
        <v>0.006123086239747444</v>
      </c>
      <c r="J413" s="19" t="n">
        <v>0.002398785588216157</v>
      </c>
      <c r="K413" s="19" t="n">
        <v>0.01063585501293196</v>
      </c>
      <c r="L413" s="19" t="n">
        <v>0.003423258482342151</v>
      </c>
      <c r="M413" s="20">
        <f>SUMPRODUCT($B$3:$K$3,B413:K413)</f>
        <v/>
      </c>
      <c r="N413" s="21">
        <f>N412*(1+M413)</f>
        <v/>
      </c>
      <c r="O413" s="21">
        <f>MAX(O412,N413)</f>
        <v/>
      </c>
      <c r="P413" s="20">
        <f>N413/O413-1</f>
        <v/>
      </c>
    </row>
    <row r="414">
      <c r="A414" s="18" t="inlineStr">
        <is>
          <t>2025-08-14</t>
        </is>
      </c>
      <c r="B414" s="19" t="n">
        <v>-0.00235716729297808</v>
      </c>
      <c r="C414" s="19" t="n">
        <v>0.003649788010366528</v>
      </c>
      <c r="D414" s="19" t="n">
        <v>0.01249429955745285</v>
      </c>
      <c r="E414" s="19" t="n">
        <v>0.001719951026406319</v>
      </c>
      <c r="F414" s="19" t="n">
        <v>-0.002044589654206952</v>
      </c>
      <c r="G414" s="19" t="n">
        <v>-0.0107458055387103</v>
      </c>
      <c r="H414" s="19" t="n">
        <v>0.02858923333961183</v>
      </c>
      <c r="I414" s="19" t="n">
        <v>-0.0008298798763647364</v>
      </c>
      <c r="J414" s="19" t="n">
        <v>0.009185434988120411</v>
      </c>
      <c r="K414" s="19" t="n">
        <v>-0.004804460929526244</v>
      </c>
      <c r="L414" s="19" t="n">
        <v>9.295674690901201e-05</v>
      </c>
      <c r="M414" s="20">
        <f>SUMPRODUCT($B$3:$K$3,B414:K414)</f>
        <v/>
      </c>
      <c r="N414" s="21">
        <f>N413*(1+M414)</f>
        <v/>
      </c>
      <c r="O414" s="21">
        <f>MAX(O413,N414)</f>
        <v/>
      </c>
      <c r="P414" s="20">
        <f>N414/O414-1</f>
        <v/>
      </c>
    </row>
    <row r="415">
      <c r="A415" s="18" t="inlineStr">
        <is>
          <t>2025-08-15</t>
        </is>
      </c>
      <c r="B415" s="19" t="n">
        <v>-0.005112201042625331</v>
      </c>
      <c r="C415" s="19" t="n">
        <v>-0.004421271415478101</v>
      </c>
      <c r="D415" s="19" t="n">
        <v>-0.01247608661956623</v>
      </c>
      <c r="E415" s="19" t="n">
        <v>0.01098898429864947</v>
      </c>
      <c r="F415" s="19" t="n">
        <v>0.0009400104501358086</v>
      </c>
      <c r="G415" s="19" t="n">
        <v>0.004032722357829144</v>
      </c>
      <c r="H415" s="19" t="n">
        <v>0.0002164821745724854</v>
      </c>
      <c r="I415" s="19" t="n">
        <v>0.04388155422633355</v>
      </c>
      <c r="J415" s="19" t="n">
        <v>-0.02325743139534187</v>
      </c>
      <c r="K415" s="19" t="n">
        <v>0.01701150988849109</v>
      </c>
      <c r="L415" s="19" t="n">
        <v>-0.00234125633610649</v>
      </c>
      <c r="M415" s="20">
        <f>SUMPRODUCT($B$3:$K$3,B415:K415)</f>
        <v/>
      </c>
      <c r="N415" s="21">
        <f>N414*(1+M415)</f>
        <v/>
      </c>
      <c r="O415" s="21">
        <f>MAX(O414,N415)</f>
        <v/>
      </c>
      <c r="P415" s="20">
        <f>N415/O415-1</f>
        <v/>
      </c>
    </row>
    <row r="416">
      <c r="A416" s="18" t="inlineStr">
        <is>
          <t>2025-08-18</t>
        </is>
      </c>
      <c r="B416" s="19" t="n">
        <v>-0.003022493221957134</v>
      </c>
      <c r="C416" s="19" t="n">
        <v>-0.005901971834724407</v>
      </c>
      <c r="D416" s="19" t="n">
        <v>0.003580156687930769</v>
      </c>
      <c r="E416" s="19" t="n">
        <v>-0.002207915448957154</v>
      </c>
      <c r="F416" s="19" t="n">
        <v>0.002159794572919926</v>
      </c>
      <c r="G416" s="19" t="n">
        <v>0.008810589273474223</v>
      </c>
      <c r="H416" s="19" t="n">
        <v>0.001991112480187684</v>
      </c>
      <c r="I416" s="19" t="n">
        <v>0.004110951966208809</v>
      </c>
      <c r="J416" s="19" t="n">
        <v>0.01189337695202219</v>
      </c>
      <c r="K416" s="19" t="n">
        <v>0.003390566198854472</v>
      </c>
      <c r="L416" s="19" t="n">
        <v>-0.0002175801700721181</v>
      </c>
      <c r="M416" s="20">
        <f>SUMPRODUCT($B$3:$K$3,B416:K416)</f>
        <v/>
      </c>
      <c r="N416" s="21">
        <f>N415*(1+M416)</f>
        <v/>
      </c>
      <c r="O416" s="21">
        <f>MAX(O415,N416)</f>
        <v/>
      </c>
      <c r="P416" s="20">
        <f>N416/O416-1</f>
        <v/>
      </c>
    </row>
    <row r="417">
      <c r="A417" s="18" t="inlineStr">
        <is>
          <t>2025-08-19</t>
        </is>
      </c>
      <c r="B417" s="19" t="n">
        <v>-0.001429299458202249</v>
      </c>
      <c r="C417" s="19" t="n">
        <v>-0.01417512701095458</v>
      </c>
      <c r="D417" s="19" t="n">
        <v>-0.002984253642676626</v>
      </c>
      <c r="E417" s="19" t="n">
        <v>0.00879448888208767</v>
      </c>
      <c r="F417" s="19" t="n">
        <v>0.00655928459094457</v>
      </c>
      <c r="G417" s="19" t="n">
        <v>0.01721036521553176</v>
      </c>
      <c r="H417" s="19" t="n">
        <v>-0.01503309388634011</v>
      </c>
      <c r="I417" s="19" t="n">
        <v>0.0104330889813038</v>
      </c>
      <c r="J417" s="19" t="n">
        <v>0.008360719839770381</v>
      </c>
      <c r="K417" s="19" t="n">
        <v>0.01239015852719416</v>
      </c>
      <c r="L417" s="19" t="n">
        <v>-0.005425108869057227</v>
      </c>
      <c r="M417" s="20">
        <f>SUMPRODUCT($B$3:$K$3,B417:K417)</f>
        <v/>
      </c>
      <c r="N417" s="21">
        <f>N416*(1+M417)</f>
        <v/>
      </c>
      <c r="O417" s="21">
        <f>MAX(O416,N417)</f>
        <v/>
      </c>
      <c r="P417" s="20">
        <f>N417/O417-1</f>
        <v/>
      </c>
    </row>
    <row r="418">
      <c r="A418" s="18" t="inlineStr">
        <is>
          <t>2025-08-20</t>
        </is>
      </c>
      <c r="B418" s="19" t="n">
        <v>-0.01973453686434801</v>
      </c>
      <c r="C418" s="19" t="n">
        <v>-0.00794473634842463</v>
      </c>
      <c r="D418" s="19" t="n">
        <v>0.005435843330950707</v>
      </c>
      <c r="E418" s="19" t="n">
        <v>0.00584930193350508</v>
      </c>
      <c r="F418" s="19" t="n">
        <v>0.01033312431759281</v>
      </c>
      <c r="G418" s="19" t="n">
        <v>0.007007588190577119</v>
      </c>
      <c r="H418" s="19" t="n">
        <v>-0.01842023178556906</v>
      </c>
      <c r="I418" s="19" t="n">
        <v>-0.004313287497503482</v>
      </c>
      <c r="J418" s="19" t="n">
        <v>0.01081493102835829</v>
      </c>
      <c r="K418" s="19" t="n">
        <v>0.002670330001171672</v>
      </c>
      <c r="L418" s="19" t="n">
        <v>-0.002657103671908412</v>
      </c>
      <c r="M418" s="20">
        <f>SUMPRODUCT($B$3:$K$3,B418:K418)</f>
        <v/>
      </c>
      <c r="N418" s="21">
        <f>N417*(1+M418)</f>
        <v/>
      </c>
      <c r="O418" s="21">
        <f>MAX(O417,N418)</f>
        <v/>
      </c>
      <c r="P418" s="20">
        <f>N418/O418-1</f>
        <v/>
      </c>
    </row>
    <row r="419">
      <c r="A419" s="18" t="inlineStr">
        <is>
          <t>2025-08-21</t>
        </is>
      </c>
      <c r="B419" s="19" t="n">
        <v>-0.004911339340493592</v>
      </c>
      <c r="C419" s="19" t="n">
        <v>-0.001287446464568243</v>
      </c>
      <c r="D419" s="19" t="n">
        <v>-0.00263474338629599</v>
      </c>
      <c r="E419" s="19" t="n">
        <v>0.000503048213796653</v>
      </c>
      <c r="F419" s="19" t="n">
        <v>0.006449965532382196</v>
      </c>
      <c r="G419" s="19" t="n">
        <v>-0.004889994811433707</v>
      </c>
      <c r="H419" s="19" t="n">
        <v>-0.008310623433453124</v>
      </c>
      <c r="I419" s="19" t="n">
        <v>-0.001312549057066126</v>
      </c>
      <c r="J419" s="19" t="n">
        <v>-0.006419458610990358</v>
      </c>
      <c r="K419" s="19" t="n">
        <v>-0.0006659176336852868</v>
      </c>
      <c r="L419" s="19" t="n">
        <v>-0.004011786002919404</v>
      </c>
      <c r="M419" s="20">
        <f>SUMPRODUCT($B$3:$K$3,B419:K419)</f>
        <v/>
      </c>
      <c r="N419" s="21">
        <f>N418*(1+M419)</f>
        <v/>
      </c>
      <c r="O419" s="21">
        <f>MAX(O418,N419)</f>
        <v/>
      </c>
      <c r="P419" s="20">
        <f>N419/O419-1</f>
        <v/>
      </c>
    </row>
    <row r="420">
      <c r="A420" s="18" t="inlineStr">
        <is>
          <t>2025-08-22</t>
        </is>
      </c>
      <c r="B420" s="19" t="n">
        <v>0.01271675473959477</v>
      </c>
      <c r="C420" s="19" t="n">
        <v>0.005929729498843628</v>
      </c>
      <c r="D420" s="19" t="n">
        <v>0.0163651814566641</v>
      </c>
      <c r="E420" s="19" t="n">
        <v>0.002012059532577881</v>
      </c>
      <c r="F420" s="19" t="n">
        <v>0.01876771001437549</v>
      </c>
      <c r="G420" s="19" t="n">
        <v>-0.0003779181410900057</v>
      </c>
      <c r="H420" s="19" t="n">
        <v>0.03104302538582671</v>
      </c>
      <c r="I420" s="19" t="n">
        <v>0.003154486569183268</v>
      </c>
      <c r="J420" s="19" t="n">
        <v>0.04254705367380485</v>
      </c>
      <c r="K420" s="19" t="n">
        <v>-0.0131024221778967</v>
      </c>
      <c r="L420" s="19" t="n">
        <v>0.01535680897961189</v>
      </c>
      <c r="M420" s="20">
        <f>SUMPRODUCT($B$3:$K$3,B420:K420)</f>
        <v/>
      </c>
      <c r="N420" s="21">
        <f>N419*(1+M420)</f>
        <v/>
      </c>
      <c r="O420" s="21">
        <f>MAX(O419,N420)</f>
        <v/>
      </c>
      <c r="P420" s="20">
        <f>N420/O420-1</f>
        <v/>
      </c>
    </row>
    <row r="421">
      <c r="A421" s="18" t="inlineStr">
        <is>
          <t>2025-08-25</t>
        </is>
      </c>
      <c r="B421" s="19" t="n">
        <v>-0.002634292890791423</v>
      </c>
      <c r="C421" s="19" t="n">
        <v>-0.005855285294872559</v>
      </c>
      <c r="D421" s="19" t="n">
        <v>-0.004523267889921301</v>
      </c>
      <c r="E421" s="19" t="n">
        <v>-0.004908277280584739</v>
      </c>
      <c r="F421" s="19" t="n">
        <v>0.004133654305186862</v>
      </c>
      <c r="G421" s="19" t="n">
        <v>-0.01588212653431986</v>
      </c>
      <c r="H421" s="19" t="n">
        <v>-0.003932852258726305</v>
      </c>
      <c r="I421" s="19" t="n">
        <v>-0.01310265644047615</v>
      </c>
      <c r="J421" s="19" t="n">
        <v>-0.007735283179186925</v>
      </c>
      <c r="K421" s="19" t="n">
        <v>-0.004725357237704064</v>
      </c>
      <c r="L421" s="19" t="n">
        <v>-0.004401019577044973</v>
      </c>
      <c r="M421" s="20">
        <f>SUMPRODUCT($B$3:$K$3,B421:K421)</f>
        <v/>
      </c>
      <c r="N421" s="21">
        <f>N420*(1+M421)</f>
        <v/>
      </c>
      <c r="O421" s="21">
        <f>MAX(O420,N421)</f>
        <v/>
      </c>
      <c r="P421" s="20">
        <f>N421/O421-1</f>
        <v/>
      </c>
    </row>
    <row r="422">
      <c r="A422" s="18" t="inlineStr">
        <is>
          <t>2025-08-26</t>
        </is>
      </c>
      <c r="B422" s="19" t="n">
        <v>0.009464706476046691</v>
      </c>
      <c r="C422" s="19" t="n">
        <v>-0.004402592973680397</v>
      </c>
      <c r="D422" s="19" t="n">
        <v>0.01244488439433167</v>
      </c>
      <c r="E422" s="19" t="n">
        <v>-0.003500489064176215</v>
      </c>
      <c r="F422" s="19" t="n">
        <v>-0.002237333562090105</v>
      </c>
      <c r="G422" s="19" t="n">
        <v>-0.001152587588307497</v>
      </c>
      <c r="H422" s="19" t="n">
        <v>0.003378100659005012</v>
      </c>
      <c r="I422" s="19" t="n">
        <v>-0.006372842584130511</v>
      </c>
      <c r="J422" s="19" t="n">
        <v>-0.002405616262430299</v>
      </c>
      <c r="K422" s="19" t="n">
        <v>-0.006104528088578087</v>
      </c>
      <c r="L422" s="19" t="n">
        <v>0.004186869919697411</v>
      </c>
      <c r="M422" s="20">
        <f>SUMPRODUCT($B$3:$K$3,B422:K422)</f>
        <v/>
      </c>
      <c r="N422" s="21">
        <f>N421*(1+M422)</f>
        <v/>
      </c>
      <c r="O422" s="21">
        <f>MAX(O421,N422)</f>
        <v/>
      </c>
      <c r="P422" s="20">
        <f>N422/O422-1</f>
        <v/>
      </c>
    </row>
    <row r="423">
      <c r="A423" s="18" t="inlineStr">
        <is>
          <t>2025-08-27</t>
        </is>
      </c>
      <c r="B423" s="19" t="n">
        <v>0.005145881341378056</v>
      </c>
      <c r="C423" s="19" t="n">
        <v>0.009361816721843441</v>
      </c>
      <c r="D423" s="19" t="n">
        <v>0.002377944161646051</v>
      </c>
      <c r="E423" s="19" t="n">
        <v>0.001699680750695487</v>
      </c>
      <c r="F423" s="19" t="n">
        <v>0.01130153075537321</v>
      </c>
      <c r="G423" s="19" t="n">
        <v>0.006347352354342251</v>
      </c>
      <c r="H423" s="19" t="n">
        <v>0.0017926124405796</v>
      </c>
      <c r="I423" s="19" t="n">
        <v>-0.01269384851611477</v>
      </c>
      <c r="J423" s="19" t="n">
        <v>0.003269439904745708</v>
      </c>
      <c r="K423" s="19" t="n">
        <v>0.007051913687594835</v>
      </c>
      <c r="L423" s="19" t="n">
        <v>0.002278549131299545</v>
      </c>
      <c r="M423" s="20">
        <f>SUMPRODUCT($B$3:$K$3,B423:K423)</f>
        <v/>
      </c>
      <c r="N423" s="21">
        <f>N422*(1+M423)</f>
        <v/>
      </c>
      <c r="O423" s="21">
        <f>MAX(O422,N423)</f>
        <v/>
      </c>
      <c r="P423" s="20">
        <f>N423/O423-1</f>
        <v/>
      </c>
    </row>
    <row r="424">
      <c r="A424" s="18" t="inlineStr">
        <is>
          <t>2025-08-28</t>
        </is>
      </c>
      <c r="B424" s="19" t="n">
        <v>0.008980917286669499</v>
      </c>
      <c r="C424" s="19" t="n">
        <v>0.005722872747080388</v>
      </c>
      <c r="D424" s="19" t="n">
        <v>0.005981158959574406</v>
      </c>
      <c r="E424" s="19" t="n">
        <v>-0.007579631449323498</v>
      </c>
      <c r="F424" s="19" t="n">
        <v>0.005321430351906242</v>
      </c>
      <c r="G424" s="19" t="n">
        <v>-0.008346210260531728</v>
      </c>
      <c r="H424" s="19" t="n">
        <v>0.0108240705271474</v>
      </c>
      <c r="I424" s="19" t="n">
        <v>-0.01681590313279369</v>
      </c>
      <c r="J424" s="19" t="n">
        <v>0.005177120578693017</v>
      </c>
      <c r="K424" s="19" t="n">
        <v>-0.007680149350045462</v>
      </c>
      <c r="L424" s="19" t="n">
        <v>0.003541412018451817</v>
      </c>
      <c r="M424" s="20">
        <f>SUMPRODUCT($B$3:$K$3,B424:K424)</f>
        <v/>
      </c>
      <c r="N424" s="21">
        <f>N423*(1+M424)</f>
        <v/>
      </c>
      <c r="O424" s="21">
        <f>MAX(O423,N424)</f>
        <v/>
      </c>
      <c r="P424" s="20">
        <f>N424/O424-1</f>
        <v/>
      </c>
    </row>
    <row r="425">
      <c r="A425" s="18" t="inlineStr">
        <is>
          <t>2025-08-29</t>
        </is>
      </c>
      <c r="B425" s="19" t="n">
        <v>-0.001806063367964184</v>
      </c>
      <c r="C425" s="19" t="n">
        <v>-0.00578841451343648</v>
      </c>
      <c r="D425" s="19" t="n">
        <v>0.001162364032746277</v>
      </c>
      <c r="E425" s="19" t="n">
        <v>0.009803395839119267</v>
      </c>
      <c r="F425" s="19" t="n">
        <v>0.008292872764239512</v>
      </c>
      <c r="G425" s="19" t="n">
        <v>0.008930317627581008</v>
      </c>
      <c r="H425" s="19" t="n">
        <v>-0.01122627821673505</v>
      </c>
      <c r="I425" s="19" t="n">
        <v>-0.0005548168521917196</v>
      </c>
      <c r="J425" s="19" t="n">
        <v>-0.03649025006527895</v>
      </c>
      <c r="K425" s="19" t="n">
        <v>0.006829077779962889</v>
      </c>
      <c r="L425" s="19" t="n">
        <v>-0.005963766656904346</v>
      </c>
      <c r="M425" s="20">
        <f>SUMPRODUCT($B$3:$K$3,B425:K425)</f>
        <v/>
      </c>
      <c r="N425" s="21">
        <f>N424*(1+M425)</f>
        <v/>
      </c>
      <c r="O425" s="21">
        <f>MAX(O424,N425)</f>
        <v/>
      </c>
      <c r="P425" s="20">
        <f>N425/O425-1</f>
        <v/>
      </c>
    </row>
    <row r="426">
      <c r="A426" s="18" t="inlineStr">
        <is>
          <t>2025-09-02</t>
        </is>
      </c>
      <c r="B426" s="19" t="n">
        <v>-0.01042465018223593</v>
      </c>
      <c r="C426" s="19" t="n">
        <v>-0.00309848487884723</v>
      </c>
      <c r="D426" s="19" t="n">
        <v>-0.005706223293674095</v>
      </c>
      <c r="E426" s="19" t="n">
        <v>0.005023550175660807</v>
      </c>
      <c r="F426" s="19" t="n">
        <v>0.003499932684355889</v>
      </c>
      <c r="G426" s="19" t="n">
        <v>0.006049548444348352</v>
      </c>
      <c r="H426" s="19" t="n">
        <v>-0.01598254874283556</v>
      </c>
      <c r="I426" s="19" t="n">
        <v>0.008327526272841057</v>
      </c>
      <c r="J426" s="19" t="n">
        <v>-0.007135338790077217</v>
      </c>
      <c r="K426" s="19" t="n">
        <v>-0.009721968202166087</v>
      </c>
      <c r="L426" s="19" t="n">
        <v>-0.007410239855265122</v>
      </c>
      <c r="M426" s="20">
        <f>SUMPRODUCT($B$3:$K$3,B426:K426)</f>
        <v/>
      </c>
      <c r="N426" s="21">
        <f>N425*(1+M426)</f>
        <v/>
      </c>
      <c r="O426" s="21">
        <f>MAX(O425,N426)</f>
        <v/>
      </c>
      <c r="P426" s="20">
        <f>N426/O426-1</f>
        <v/>
      </c>
    </row>
    <row r="427">
      <c r="A427" s="18" t="inlineStr">
        <is>
          <t>2025-09-03</t>
        </is>
      </c>
      <c r="B427" s="19" t="n">
        <v>0.03808981125599797</v>
      </c>
      <c r="C427" s="19" t="n">
        <v>0.000455328996976867</v>
      </c>
      <c r="D427" s="19" t="n">
        <v>-0.0006339621482358559</v>
      </c>
      <c r="E427" s="19" t="n">
        <v>-0.000337096570675488</v>
      </c>
      <c r="F427" s="19" t="n">
        <v>-0.02423919174949174</v>
      </c>
      <c r="G427" s="19" t="n">
        <v>0.001139263448632688</v>
      </c>
      <c r="H427" s="19" t="n">
        <v>0.002884570719078106</v>
      </c>
      <c r="I427" s="19" t="n">
        <v>-0.01403985561067556</v>
      </c>
      <c r="J427" s="19" t="n">
        <v>-0.002235428748039836</v>
      </c>
      <c r="K427" s="19" t="n">
        <v>-0.001369869386494305</v>
      </c>
      <c r="L427" s="19" t="n">
        <v>0.005419573443143255</v>
      </c>
      <c r="M427" s="20">
        <f>SUMPRODUCT($B$3:$K$3,B427:K427)</f>
        <v/>
      </c>
      <c r="N427" s="21">
        <f>N426*(1+M427)</f>
        <v/>
      </c>
      <c r="O427" s="21">
        <f>MAX(O426,N427)</f>
        <v/>
      </c>
      <c r="P427" s="20">
        <f>N427/O427-1</f>
        <v/>
      </c>
    </row>
    <row r="428">
      <c r="A428" s="18" t="inlineStr">
        <is>
          <t>2025-09-04</t>
        </is>
      </c>
      <c r="B428" s="19" t="n">
        <v>0.005493212574366302</v>
      </c>
      <c r="C428" s="19" t="n">
        <v>0.00518449144724209</v>
      </c>
      <c r="D428" s="19" t="n">
        <v>0.01439017382246699</v>
      </c>
      <c r="E428" s="19" t="n">
        <v>0.004269605856711767</v>
      </c>
      <c r="F428" s="19" t="n">
        <v>0.004378427760361348</v>
      </c>
      <c r="G428" s="19" t="n">
        <v>0.006448843819962358</v>
      </c>
      <c r="H428" s="19" t="n">
        <v>0.04287794569264824</v>
      </c>
      <c r="I428" s="19" t="n">
        <v>-0.01061009236386068</v>
      </c>
      <c r="J428" s="19" t="n">
        <v>0.01228568643761152</v>
      </c>
      <c r="K428" s="19" t="n">
        <v>0.01005952007716004</v>
      </c>
      <c r="L428" s="19" t="n">
        <v>0.008357508586952056</v>
      </c>
      <c r="M428" s="20">
        <f>SUMPRODUCT($B$3:$K$3,B428:K428)</f>
        <v/>
      </c>
      <c r="N428" s="21">
        <f>N427*(1+M428)</f>
        <v/>
      </c>
      <c r="O428" s="21">
        <f>MAX(O427,N428)</f>
        <v/>
      </c>
      <c r="P428" s="20">
        <f>N428/O428-1</f>
        <v/>
      </c>
    </row>
    <row r="429">
      <c r="A429" s="18" t="inlineStr">
        <is>
          <t>2025-09-05</t>
        </is>
      </c>
      <c r="B429" s="19" t="n">
        <v>-0.000375246241373639</v>
      </c>
      <c r="C429" s="19" t="n">
        <v>-0.02553296085297718</v>
      </c>
      <c r="D429" s="19" t="n">
        <v>-0.0310710993856701</v>
      </c>
      <c r="E429" s="19" t="n">
        <v>-0.001846029448141051</v>
      </c>
      <c r="F429" s="19" t="n">
        <v>-0.02820276567218416</v>
      </c>
      <c r="G429" s="19" t="n">
        <v>0.005213796233713097</v>
      </c>
      <c r="H429" s="19" t="n">
        <v>-0.01421415032601026</v>
      </c>
      <c r="I429" s="19" t="n">
        <v>0.0004232758293221117</v>
      </c>
      <c r="J429" s="19" t="n">
        <v>0.006805928808138129</v>
      </c>
      <c r="K429" s="19" t="n">
        <v>0.004526894509410795</v>
      </c>
      <c r="L429" s="19" t="n">
        <v>-0.002896333007960439</v>
      </c>
      <c r="M429" s="20">
        <f>SUMPRODUCT($B$3:$K$3,B429:K429)</f>
        <v/>
      </c>
      <c r="N429" s="21">
        <f>N428*(1+M429)</f>
        <v/>
      </c>
      <c r="O429" s="21">
        <f>MAX(O428,N429)</f>
        <v/>
      </c>
      <c r="P429" s="20">
        <f>N429/O429-1</f>
        <v/>
      </c>
    </row>
    <row r="430">
      <c r="A430" s="18" t="inlineStr">
        <is>
          <t>2025-09-08</t>
        </is>
      </c>
      <c r="B430" s="19" t="n">
        <v>-0.00755138282705281</v>
      </c>
      <c r="C430" s="19" t="n">
        <v>0.00646465224103121</v>
      </c>
      <c r="D430" s="19" t="n">
        <v>-0.004993572221855924</v>
      </c>
      <c r="E430" s="19" t="n">
        <v>-0.001681288492910715</v>
      </c>
      <c r="F430" s="19" t="n">
        <v>0.005676044783939238</v>
      </c>
      <c r="G430" s="19" t="n">
        <v>-0.006311760796820387</v>
      </c>
      <c r="H430" s="19" t="n">
        <v>0.01510779700930898</v>
      </c>
      <c r="I430" s="19" t="n">
        <v>-0.0159379723791554</v>
      </c>
      <c r="J430" s="19" t="n">
        <v>-0.0007091075892270426</v>
      </c>
      <c r="K430" s="19" t="n">
        <v>-0.02388462067525421</v>
      </c>
      <c r="L430" s="19" t="n">
        <v>0.00245656071177458</v>
      </c>
      <c r="M430" s="20">
        <f>SUMPRODUCT($B$3:$K$3,B430:K430)</f>
        <v/>
      </c>
      <c r="N430" s="21">
        <f>N429*(1+M430)</f>
        <v/>
      </c>
      <c r="O430" s="21">
        <f>MAX(O429,N430)</f>
        <v/>
      </c>
      <c r="P430" s="20">
        <f>N430/O430-1</f>
        <v/>
      </c>
    </row>
    <row r="431">
      <c r="A431" s="18" t="inlineStr">
        <is>
          <t>2025-09-09</t>
        </is>
      </c>
      <c r="B431" s="19" t="n">
        <v>-0.01483937243663669</v>
      </c>
      <c r="C431" s="19" t="n">
        <v>0.0004215097311310867</v>
      </c>
      <c r="D431" s="19" t="n">
        <v>0.01686532554009101</v>
      </c>
      <c r="E431" s="19" t="n">
        <v>-0.006568216844791142</v>
      </c>
      <c r="F431" s="19" t="n">
        <v>0.007282576295247534</v>
      </c>
      <c r="G431" s="19" t="n">
        <v>0.002830037056504642</v>
      </c>
      <c r="H431" s="19" t="n">
        <v>0.01017642975127475</v>
      </c>
      <c r="I431" s="19" t="n">
        <v>0.004299830101420543</v>
      </c>
      <c r="J431" s="19" t="n">
        <v>-0.01109324925116872</v>
      </c>
      <c r="K431" s="19" t="n">
        <v>0.005770954670841766</v>
      </c>
      <c r="L431" s="19" t="n">
        <v>0.002312000060259889</v>
      </c>
      <c r="M431" s="20">
        <f>SUMPRODUCT($B$3:$K$3,B431:K431)</f>
        <v/>
      </c>
      <c r="N431" s="21">
        <f>N430*(1+M431)</f>
        <v/>
      </c>
      <c r="O431" s="21">
        <f>MAX(O430,N431)</f>
        <v/>
      </c>
      <c r="P431" s="20">
        <f>N431/O431-1</f>
        <v/>
      </c>
    </row>
    <row r="432">
      <c r="A432" s="18" t="inlineStr">
        <is>
          <t>2025-09-10</t>
        </is>
      </c>
      <c r="B432" s="19" t="n">
        <v>-0.03225952333307935</v>
      </c>
      <c r="C432" s="19" t="n">
        <v>0.003932433265002588</v>
      </c>
      <c r="D432" s="19" t="n">
        <v>0.009031362345783611</v>
      </c>
      <c r="E432" s="19" t="n">
        <v>-0.006611819894410509</v>
      </c>
      <c r="F432" s="19" t="n">
        <v>0.01671950480949613</v>
      </c>
      <c r="G432" s="19" t="n">
        <v>-0.0132320866428326</v>
      </c>
      <c r="H432" s="19" t="n">
        <v>-0.03320182790348525</v>
      </c>
      <c r="I432" s="19" t="n">
        <v>0.01384329393062722</v>
      </c>
      <c r="J432" s="19" t="n">
        <v>0.01152863975779206</v>
      </c>
      <c r="K432" s="19" t="n">
        <v>-0.001836071977014186</v>
      </c>
      <c r="L432" s="19" t="n">
        <v>0.002890753802009982</v>
      </c>
      <c r="M432" s="20">
        <f>SUMPRODUCT($B$3:$K$3,B432:K432)</f>
        <v/>
      </c>
      <c r="N432" s="21">
        <f>N431*(1+M432)</f>
        <v/>
      </c>
      <c r="O432" s="21">
        <f>MAX(O431,N432)</f>
        <v/>
      </c>
      <c r="P432" s="20">
        <f>N432/O432-1</f>
        <v/>
      </c>
    </row>
    <row r="433">
      <c r="A433" s="18" t="inlineStr">
        <is>
          <t>2025-09-11</t>
        </is>
      </c>
      <c r="B433" s="19" t="n">
        <v>0.01428633363334719</v>
      </c>
      <c r="C433" s="19" t="n">
        <v>0.001279153124627452</v>
      </c>
      <c r="D433" s="19" t="n">
        <v>0.01670331762774979</v>
      </c>
      <c r="E433" s="19" t="n">
        <v>0.01541635775400874</v>
      </c>
      <c r="F433" s="19" t="n">
        <v>-0.003200079049447302</v>
      </c>
      <c r="G433" s="19" t="n">
        <v>0.008134757666277803</v>
      </c>
      <c r="H433" s="19" t="n">
        <v>-0.001649827985028329</v>
      </c>
      <c r="I433" s="19" t="n">
        <v>0.003941562872324944</v>
      </c>
      <c r="J433" s="19" t="n">
        <v>0.02002798252897642</v>
      </c>
      <c r="K433" s="19" t="n">
        <v>0.01494601783113247</v>
      </c>
      <c r="L433" s="19" t="n">
        <v>0.008310153402529386</v>
      </c>
      <c r="M433" s="20">
        <f>SUMPRODUCT($B$3:$K$3,B433:K433)</f>
        <v/>
      </c>
      <c r="N433" s="21">
        <f>N432*(1+M433)</f>
        <v/>
      </c>
      <c r="O433" s="21">
        <f>MAX(O432,N433)</f>
        <v/>
      </c>
      <c r="P433" s="20">
        <f>N433/O433-1</f>
        <v/>
      </c>
    </row>
    <row r="434">
      <c r="A434" s="18" t="inlineStr">
        <is>
          <t>2025-09-12</t>
        </is>
      </c>
      <c r="B434" s="19" t="n">
        <v>0.01756306008290553</v>
      </c>
      <c r="C434" s="19" t="n">
        <v>0.01774407662804744</v>
      </c>
      <c r="D434" s="19" t="n">
        <v>0.004418076269069759</v>
      </c>
      <c r="E434" s="19" t="n">
        <v>-0.002464957396445588</v>
      </c>
      <c r="F434" s="19" t="n">
        <v>0.0001784462546692289</v>
      </c>
      <c r="G434" s="19" t="n">
        <v>-0.004602040717306854</v>
      </c>
      <c r="H434" s="19" t="n">
        <v>-0.007827802024989561</v>
      </c>
      <c r="I434" s="19" t="n">
        <v>0.004486784723692683</v>
      </c>
      <c r="J434" s="19" t="n">
        <v>0.0003244260941652755</v>
      </c>
      <c r="K434" s="19" t="n">
        <v>-0.003851476447006563</v>
      </c>
      <c r="L434" s="19" t="n">
        <v>-0.0003344266088812775</v>
      </c>
      <c r="M434" s="20">
        <f>SUMPRODUCT($B$3:$K$3,B434:K434)</f>
        <v/>
      </c>
      <c r="N434" s="21">
        <f>N433*(1+M434)</f>
        <v/>
      </c>
      <c r="O434" s="21">
        <f>MAX(O433,N434)</f>
        <v/>
      </c>
      <c r="P434" s="20">
        <f>N434/O434-1</f>
        <v/>
      </c>
    </row>
    <row r="435">
      <c r="A435" s="18" t="inlineStr">
        <is>
          <t>2025-09-15</t>
        </is>
      </c>
      <c r="B435" s="19" t="n">
        <v>0.01123586683622579</v>
      </c>
      <c r="C435" s="19" t="n">
        <v>0.01070808788748145</v>
      </c>
      <c r="D435" s="19" t="n">
        <v>0.006483959739133738</v>
      </c>
      <c r="E435" s="19" t="n">
        <v>-0.00370666026413935</v>
      </c>
      <c r="F435" s="19" t="n">
        <v>0.001693992046734705</v>
      </c>
      <c r="G435" s="19" t="n">
        <v>-0.006776408944939361</v>
      </c>
      <c r="H435" s="19" t="n">
        <v>0.01437650171836102</v>
      </c>
      <c r="I435" s="19" t="n">
        <v>-0.001954385118056901</v>
      </c>
      <c r="J435" s="19" t="n">
        <v>0.0102429024213746</v>
      </c>
      <c r="K435" s="19" t="n">
        <v>-0.00227435027997247</v>
      </c>
      <c r="L435" s="19" t="n">
        <v>0.005323820081343245</v>
      </c>
      <c r="M435" s="20">
        <f>SUMPRODUCT($B$3:$K$3,B435:K435)</f>
        <v/>
      </c>
      <c r="N435" s="21">
        <f>N434*(1+M435)</f>
        <v/>
      </c>
      <c r="O435" s="21">
        <f>MAX(O434,N435)</f>
        <v/>
      </c>
      <c r="P435" s="20">
        <f>N435/O435-1</f>
        <v/>
      </c>
    </row>
    <row r="436">
      <c r="A436" s="18" t="inlineStr">
        <is>
          <t>2025-09-16</t>
        </is>
      </c>
      <c r="B436" s="19" t="n">
        <v>0.006125867664642737</v>
      </c>
      <c r="C436" s="19" t="n">
        <v>-0.01226328558426915</v>
      </c>
      <c r="D436" s="19" t="n">
        <v>0.0009388817671476257</v>
      </c>
      <c r="E436" s="19" t="n">
        <v>-0.005298834400672914</v>
      </c>
      <c r="F436" s="19" t="n">
        <v>0.02073870441286263</v>
      </c>
      <c r="G436" s="19" t="n">
        <v>0.007779234049269945</v>
      </c>
      <c r="H436" s="19" t="n">
        <v>0.01132096296458451</v>
      </c>
      <c r="I436" s="19" t="n">
        <v>-0.02335650241936194</v>
      </c>
      <c r="J436" s="19" t="n">
        <v>0.01085012391362783</v>
      </c>
      <c r="K436" s="19" t="n">
        <v>-0.002963237242167072</v>
      </c>
      <c r="L436" s="19" t="n">
        <v>-0.001376840584718653</v>
      </c>
      <c r="M436" s="20">
        <f>SUMPRODUCT($B$3:$K$3,B436:K436)</f>
        <v/>
      </c>
      <c r="N436" s="21">
        <f>N435*(1+M436)</f>
        <v/>
      </c>
      <c r="O436" s="21">
        <f>MAX(O435,N436)</f>
        <v/>
      </c>
      <c r="P436" s="20">
        <f>N436/O436-1</f>
        <v/>
      </c>
    </row>
    <row r="437">
      <c r="A437" s="18" t="inlineStr">
        <is>
          <t>2025-09-17</t>
        </is>
      </c>
      <c r="B437" s="19" t="n">
        <v>0.003527276634913035</v>
      </c>
      <c r="C437" s="19" t="n">
        <v>0.001925096699102014</v>
      </c>
      <c r="D437" s="19" t="n">
        <v>0.008279657708563315</v>
      </c>
      <c r="E437" s="19" t="n">
        <v>0.004193600982951518</v>
      </c>
      <c r="F437" s="19" t="n">
        <v>0.005319155126325414</v>
      </c>
      <c r="G437" s="19" t="n">
        <v>0.0144256556278215</v>
      </c>
      <c r="H437" s="19" t="n">
        <v>-0.01038243068953493</v>
      </c>
      <c r="I437" s="19" t="n">
        <v>0.00687361429037403</v>
      </c>
      <c r="J437" s="19" t="n">
        <v>0.02267010140135062</v>
      </c>
      <c r="K437" s="19" t="n">
        <v>0.01074534774332325</v>
      </c>
      <c r="L437" s="19" t="n">
        <v>-0.00124244911043736</v>
      </c>
      <c r="M437" s="20">
        <f>SUMPRODUCT($B$3:$K$3,B437:K437)</f>
        <v/>
      </c>
      <c r="N437" s="21">
        <f>N436*(1+M437)</f>
        <v/>
      </c>
      <c r="O437" s="21">
        <f>MAX(O436,N437)</f>
        <v/>
      </c>
      <c r="P437" s="20">
        <f>N437/O437-1</f>
        <v/>
      </c>
    </row>
    <row r="438">
      <c r="A438" s="18" t="inlineStr">
        <is>
          <t>2025-09-18</t>
        </is>
      </c>
      <c r="B438" s="19" t="n">
        <v>-0.004644594748566711</v>
      </c>
      <c r="C438" s="19" t="n">
        <v>-0.003078194056172823</v>
      </c>
      <c r="D438" s="19" t="n">
        <v>0.004747465597410239</v>
      </c>
      <c r="E438" s="19" t="n">
        <v>-0.01715579059332362</v>
      </c>
      <c r="F438" s="19" t="n">
        <v>-0.01179633657620194</v>
      </c>
      <c r="G438" s="19" t="n">
        <v>-0.01877366277318271</v>
      </c>
      <c r="H438" s="19" t="n">
        <v>-0.001683789818971104</v>
      </c>
      <c r="I438" s="19" t="n">
        <v>0.006827025142603693</v>
      </c>
      <c r="J438" s="19" t="n">
        <v>0.0361690781002475</v>
      </c>
      <c r="K438" s="19" t="n">
        <v>-0.01221448760811206</v>
      </c>
      <c r="L438" s="19" t="n">
        <v>0.004672370929096559</v>
      </c>
      <c r="M438" s="20">
        <f>SUMPRODUCT($B$3:$K$3,B438:K438)</f>
        <v/>
      </c>
      <c r="N438" s="21">
        <f>N437*(1+M438)</f>
        <v/>
      </c>
      <c r="O438" s="21">
        <f>MAX(O437,N438)</f>
        <v/>
      </c>
      <c r="P438" s="20">
        <f>N438/O438-1</f>
        <v/>
      </c>
    </row>
    <row r="439">
      <c r="A439" s="18" t="inlineStr">
        <is>
          <t>2025-09-19</t>
        </is>
      </c>
      <c r="B439" s="19" t="n">
        <v>0.03203293157342535</v>
      </c>
      <c r="C439" s="19" t="n">
        <v>0.01864473971416158</v>
      </c>
      <c r="D439" s="19" t="n">
        <v>0.004948342564394359</v>
      </c>
      <c r="E439" s="19" t="n">
        <v>0.01165603450430619</v>
      </c>
      <c r="F439" s="19" t="n">
        <v>-0.009742893399476094</v>
      </c>
      <c r="G439" s="19" t="n">
        <v>-0.008136408829507724</v>
      </c>
      <c r="H439" s="19" t="n">
        <v>0.001081174608049462</v>
      </c>
      <c r="I439" s="19" t="n">
        <v>0.004096623503680341</v>
      </c>
      <c r="J439" s="19" t="n">
        <v>-0.0008993832244948985</v>
      </c>
      <c r="K439" s="19" t="n">
        <v>-0.004350755517066318</v>
      </c>
      <c r="L439" s="19" t="n">
        <v>0.00495302417801069</v>
      </c>
      <c r="M439" s="20">
        <f>SUMPRODUCT($B$3:$K$3,B439:K439)</f>
        <v/>
      </c>
      <c r="N439" s="21">
        <f>N438*(1+M439)</f>
        <v/>
      </c>
      <c r="O439" s="21">
        <f>MAX(O438,N439)</f>
        <v/>
      </c>
      <c r="P439" s="20">
        <f>N439/O439-1</f>
        <v/>
      </c>
    </row>
    <row r="440">
      <c r="A440" s="18" t="inlineStr">
        <is>
          <t>2025-09-22</t>
        </is>
      </c>
      <c r="B440" s="19" t="n">
        <v>0.04309566001579301</v>
      </c>
      <c r="C440" s="19" t="n">
        <v>-0.006718813342718066</v>
      </c>
      <c r="D440" s="19" t="n">
        <v>-0.007433786509294937</v>
      </c>
      <c r="E440" s="19" t="n">
        <v>-0.01123791522512496</v>
      </c>
      <c r="F440" s="19" t="n">
        <v>-0.007090862165699985</v>
      </c>
      <c r="G440" s="19" t="n">
        <v>-0.01903341689393923</v>
      </c>
      <c r="H440" s="19" t="n">
        <v>-0.01663206720142729</v>
      </c>
      <c r="I440" s="19" t="n">
        <v>0.01786717530548798</v>
      </c>
      <c r="J440" s="19" t="n">
        <v>0.01191753945793583</v>
      </c>
      <c r="K440" s="19" t="n">
        <v>-0.007359770884801442</v>
      </c>
      <c r="L440" s="19" t="n">
        <v>0.004730992209795115</v>
      </c>
      <c r="M440" s="20">
        <f>SUMPRODUCT($B$3:$K$3,B440:K440)</f>
        <v/>
      </c>
      <c r="N440" s="21">
        <f>N439*(1+M440)</f>
        <v/>
      </c>
      <c r="O440" s="21">
        <f>MAX(O439,N440)</f>
        <v/>
      </c>
      <c r="P440" s="20">
        <f>N440/O440-1</f>
        <v/>
      </c>
    </row>
    <row r="441">
      <c r="A441" s="18" t="inlineStr">
        <is>
          <t>2025-09-23</t>
        </is>
      </c>
      <c r="B441" s="19" t="n">
        <v>-0.006443214192331292</v>
      </c>
      <c r="C441" s="19" t="n">
        <v>-0.01014687019697569</v>
      </c>
      <c r="D441" s="19" t="n">
        <v>0.0009601975900692672</v>
      </c>
      <c r="E441" s="19" t="n">
        <v>0.01360425227707807</v>
      </c>
      <c r="F441" s="19" t="n">
        <v>0.01722901357391993</v>
      </c>
      <c r="G441" s="19" t="n">
        <v>-0.003723848071431668</v>
      </c>
      <c r="H441" s="19" t="n">
        <v>-0.03040020217241501</v>
      </c>
      <c r="I441" s="19" t="n">
        <v>-0.0004147257922667569</v>
      </c>
      <c r="J441" s="19" t="n">
        <v>-0.001779312659607402</v>
      </c>
      <c r="K441" s="19" t="n">
        <v>0.0044022606637244</v>
      </c>
      <c r="L441" s="19" t="n">
        <v>-0.005443573176272531</v>
      </c>
      <c r="M441" s="20">
        <f>SUMPRODUCT($B$3:$K$3,B441:K441)</f>
        <v/>
      </c>
      <c r="N441" s="21">
        <f>N440*(1+M441)</f>
        <v/>
      </c>
      <c r="O441" s="21">
        <f>MAX(O440,N441)</f>
        <v/>
      </c>
      <c r="P441" s="20">
        <f>N441/O441-1</f>
        <v/>
      </c>
    </row>
    <row r="442">
      <c r="A442" s="18" t="inlineStr">
        <is>
          <t>2025-09-24</t>
        </is>
      </c>
      <c r="B442" s="19" t="n">
        <v>-0.008332411863824163</v>
      </c>
      <c r="C442" s="19" t="n">
        <v>0.001806616069735201</v>
      </c>
      <c r="D442" s="19" t="n">
        <v>0.002174432984154429</v>
      </c>
      <c r="E442" s="19" t="n">
        <v>0.0006229399354245047</v>
      </c>
      <c r="F442" s="19" t="n">
        <v>0.005353300395846361</v>
      </c>
      <c r="G442" s="19" t="n">
        <v>-0.0005246819926544299</v>
      </c>
      <c r="H442" s="19" t="n">
        <v>-0.002265416088035432</v>
      </c>
      <c r="I442" s="19" t="n">
        <v>0.02087968331018808</v>
      </c>
      <c r="J442" s="19" t="n">
        <v>-0.00311928210838619</v>
      </c>
      <c r="K442" s="19" t="n">
        <v>-0.003921477199422041</v>
      </c>
      <c r="L442" s="19" t="n">
        <v>-0.003181565413531873</v>
      </c>
      <c r="M442" s="20">
        <f>SUMPRODUCT($B$3:$K$3,B442:K442)</f>
        <v/>
      </c>
      <c r="N442" s="21">
        <f>N441*(1+M442)</f>
        <v/>
      </c>
      <c r="O442" s="21">
        <f>MAX(O441,N442)</f>
        <v/>
      </c>
      <c r="P442" s="20">
        <f>N442/O442-1</f>
        <v/>
      </c>
    </row>
    <row r="443">
      <c r="A443" s="18" t="inlineStr">
        <is>
          <t>2025-09-25</t>
        </is>
      </c>
      <c r="B443" s="19" t="n">
        <v>0.01807298793513445</v>
      </c>
      <c r="C443" s="19" t="n">
        <v>-0.00611585677090698</v>
      </c>
      <c r="D443" s="19" t="n">
        <v>9.575920677629135e-05</v>
      </c>
      <c r="E443" s="19" t="n">
        <v>0.00588598748202207</v>
      </c>
      <c r="F443" s="19" t="n">
        <v>0.008990812787293079</v>
      </c>
      <c r="G443" s="19" t="n">
        <v>-0.001771293340934621</v>
      </c>
      <c r="H443" s="19" t="n">
        <v>-0.009354764790773018</v>
      </c>
      <c r="I443" s="19" t="n">
        <v>0.01110654226749674</v>
      </c>
      <c r="J443" s="19" t="n">
        <v>-0.01292064676447346</v>
      </c>
      <c r="K443" s="19" t="n">
        <v>0.003936915724672474</v>
      </c>
      <c r="L443" s="19" t="n">
        <v>-0.004613445575769481</v>
      </c>
      <c r="M443" s="20">
        <f>SUMPRODUCT($B$3:$K$3,B443:K443)</f>
        <v/>
      </c>
      <c r="N443" s="21">
        <f>N442*(1+M443)</f>
        <v/>
      </c>
      <c r="O443" s="21">
        <f>MAX(O442,N443)</f>
        <v/>
      </c>
      <c r="P443" s="20">
        <f>N443/O443-1</f>
        <v/>
      </c>
    </row>
    <row r="444">
      <c r="A444" s="18" t="inlineStr">
        <is>
          <t>2025-09-26</t>
        </is>
      </c>
      <c r="B444" s="19" t="n">
        <v>-0.005489118202509746</v>
      </c>
      <c r="C444" s="19" t="n">
        <v>0.008737116838221759</v>
      </c>
      <c r="D444" s="19" t="n">
        <v>0.008326582046123798</v>
      </c>
      <c r="E444" s="19" t="n">
        <v>0.01114054173256651</v>
      </c>
      <c r="F444" s="19" t="n">
        <v>0.01410172350021477</v>
      </c>
      <c r="G444" s="19" t="n">
        <v>0.002300325320220287</v>
      </c>
      <c r="H444" s="19" t="n">
        <v>0.007471945580644457</v>
      </c>
      <c r="I444" s="19" t="n">
        <v>0.0160748651272018</v>
      </c>
      <c r="J444" s="19" t="n">
        <v>0.004399182263400192</v>
      </c>
      <c r="K444" s="19" t="n">
        <v>0.005997752440981552</v>
      </c>
      <c r="L444" s="19" t="n">
        <v>0.005728916416621654</v>
      </c>
      <c r="M444" s="20">
        <f>SUMPRODUCT($B$3:$K$3,B444:K444)</f>
        <v/>
      </c>
      <c r="N444" s="21">
        <f>N443*(1+M444)</f>
        <v/>
      </c>
      <c r="O444" s="21">
        <f>MAX(O443,N444)</f>
        <v/>
      </c>
      <c r="P444" s="20">
        <f>N444/O444-1</f>
        <v/>
      </c>
    </row>
    <row r="445">
      <c r="A445" s="18" t="inlineStr">
        <is>
          <t>2025-09-29</t>
        </is>
      </c>
      <c r="B445" s="19" t="n">
        <v>-0.004031903675073667</v>
      </c>
      <c r="C445" s="19" t="n">
        <v>0.006139235411893873</v>
      </c>
      <c r="D445" s="19" t="n">
        <v>-0.001170607709341298</v>
      </c>
      <c r="E445" s="19" t="n">
        <v>0.01062823029525317</v>
      </c>
      <c r="F445" s="19" t="n">
        <v>-0.02559293081354286</v>
      </c>
      <c r="G445" s="19" t="n">
        <v>0.006754018905443804</v>
      </c>
      <c r="H445" s="19" t="n">
        <v>0.01087450815780766</v>
      </c>
      <c r="I445" s="19" t="n">
        <v>0.004746238000015612</v>
      </c>
      <c r="J445" s="19" t="n">
        <v>0.01256013952786983</v>
      </c>
      <c r="K445" s="19" t="n">
        <v>-0.008254931867866522</v>
      </c>
      <c r="L445" s="19" t="n">
        <v>0.002810621129464952</v>
      </c>
      <c r="M445" s="20">
        <f>SUMPRODUCT($B$3:$K$3,B445:K445)</f>
        <v/>
      </c>
      <c r="N445" s="21">
        <f>N444*(1+M445)</f>
        <v/>
      </c>
      <c r="O445" s="21">
        <f>MAX(O444,N445)</f>
        <v/>
      </c>
      <c r="P445" s="20">
        <f>N445/O445-1</f>
        <v/>
      </c>
    </row>
    <row r="446">
      <c r="A446" s="18" t="inlineStr">
        <is>
          <t>2025-09-30</t>
        </is>
      </c>
      <c r="B446" s="19" t="n">
        <v>0.0007860731837203705</v>
      </c>
      <c r="C446" s="19" t="n">
        <v>0.006510031058658106</v>
      </c>
      <c r="D446" s="19" t="n">
        <v>-0.0008237156818382552</v>
      </c>
      <c r="E446" s="19" t="n">
        <v>0.02092286942160082</v>
      </c>
      <c r="F446" s="19" t="n">
        <v>-0.01286990875546801</v>
      </c>
      <c r="G446" s="19" t="n">
        <v>0.0007816407724288155</v>
      </c>
      <c r="H446" s="19" t="n">
        <v>-0.01170270903431991</v>
      </c>
      <c r="I446" s="19" t="n">
        <v>-0.009447532287264693</v>
      </c>
      <c r="J446" s="19" t="n">
        <v>0.01174698106863148</v>
      </c>
      <c r="K446" s="19" t="n">
        <v>0.01618501314594156</v>
      </c>
      <c r="L446" s="19" t="n">
        <v>0.003766706796163088</v>
      </c>
      <c r="M446" s="20">
        <f>SUMPRODUCT($B$3:$K$3,B446:K446)</f>
        <v/>
      </c>
      <c r="N446" s="21">
        <f>N445*(1+M446)</f>
        <v/>
      </c>
      <c r="O446" s="21">
        <f>MAX(O445,N446)</f>
        <v/>
      </c>
      <c r="P446" s="20">
        <f>N446/O446-1</f>
        <v/>
      </c>
    </row>
    <row r="447">
      <c r="A447" s="18" t="inlineStr">
        <is>
          <t>2025-10-01</t>
        </is>
      </c>
      <c r="B447" s="19" t="n">
        <v>0.003220314475819164</v>
      </c>
      <c r="C447" s="19" t="n">
        <v>0.003398067826388962</v>
      </c>
      <c r="D447" s="19" t="n">
        <v>-0.01496373589945799</v>
      </c>
      <c r="E447" s="19" t="n">
        <v>0.003397545278585268</v>
      </c>
      <c r="F447" s="19" t="n">
        <v>-0.006740650193885256</v>
      </c>
      <c r="G447" s="19" t="n">
        <v>-0.003058898986511016</v>
      </c>
      <c r="H447" s="19" t="n">
        <v>0.004827606336181178</v>
      </c>
      <c r="I447" s="19" t="n">
        <v>0.04212468684395265</v>
      </c>
      <c r="J447" s="19" t="n">
        <v>0.007691520876833113</v>
      </c>
      <c r="K447" s="19" t="n">
        <v>-0.002730387705596193</v>
      </c>
      <c r="L447" s="19" t="n">
        <v>0.003407606864629376</v>
      </c>
      <c r="M447" s="20">
        <f>SUMPRODUCT($B$3:$K$3,B447:K447)</f>
        <v/>
      </c>
      <c r="N447" s="21">
        <f>N446*(1+M447)</f>
        <v/>
      </c>
      <c r="O447" s="21">
        <f>MAX(O446,N447)</f>
        <v/>
      </c>
      <c r="P447" s="20">
        <f>N447/O447-1</f>
        <v/>
      </c>
    </row>
    <row r="448">
      <c r="A448" s="18" t="inlineStr">
        <is>
          <t>2025-10-02</t>
        </is>
      </c>
      <c r="B448" s="19" t="n">
        <v>0.006576613515574703</v>
      </c>
      <c r="C448" s="19" t="n">
        <v>-0.007639030895122967</v>
      </c>
      <c r="D448" s="19" t="n">
        <v>-0.01017014233114311</v>
      </c>
      <c r="E448" s="19" t="n">
        <v>-0.0003761242845460311</v>
      </c>
      <c r="F448" s="19" t="n">
        <v>-0.006250479309732215</v>
      </c>
      <c r="G448" s="19" t="n">
        <v>-0.007376926381166382</v>
      </c>
      <c r="H448" s="19" t="n">
        <v>0.008067800117405932</v>
      </c>
      <c r="I448" s="19" t="n">
        <v>-0.006228442883293162</v>
      </c>
      <c r="J448" s="19" t="n">
        <v>0.0202778093892193</v>
      </c>
      <c r="K448" s="19" t="n">
        <v>-0.009810691724663201</v>
      </c>
      <c r="L448" s="19" t="n">
        <v>0.001151823859551371</v>
      </c>
      <c r="M448" s="20">
        <f>SUMPRODUCT($B$3:$K$3,B448:K448)</f>
        <v/>
      </c>
      <c r="N448" s="21">
        <f>N447*(1+M448)</f>
        <v/>
      </c>
      <c r="O448" s="21">
        <f>MAX(O447,N448)</f>
        <v/>
      </c>
      <c r="P448" s="20">
        <f>N448/O448-1</f>
        <v/>
      </c>
    </row>
    <row r="449">
      <c r="A449" s="18" t="inlineStr">
        <is>
          <t>2025-10-03</t>
        </is>
      </c>
      <c r="B449" s="19" t="n">
        <v>0.003461262002619314</v>
      </c>
      <c r="C449" s="19" t="n">
        <v>0.003121730672307477</v>
      </c>
      <c r="D449" s="19" t="n">
        <v>0.008063610885318706</v>
      </c>
      <c r="E449" s="19" t="n">
        <v>0.01430254707202705</v>
      </c>
      <c r="F449" s="19" t="n">
        <v>0.01770150282788507</v>
      </c>
      <c r="G449" s="19" t="n">
        <v>0.001446990828286809</v>
      </c>
      <c r="H449" s="19" t="n">
        <v>-0.01303902300941073</v>
      </c>
      <c r="I449" s="19" t="n">
        <v>0.02404702286189409</v>
      </c>
      <c r="J449" s="19" t="n">
        <v>0.01483995192444088</v>
      </c>
      <c r="K449" s="19" t="n">
        <v>0.006221085735898857</v>
      </c>
      <c r="L449" s="19" t="n">
        <v>-1.474998317585463e-05</v>
      </c>
      <c r="M449" s="20">
        <f>SUMPRODUCT($B$3:$K$3,B449:K449)</f>
        <v/>
      </c>
      <c r="N449" s="21">
        <f>N448*(1+M449)</f>
        <v/>
      </c>
      <c r="O449" s="21">
        <f>MAX(O448,N449)</f>
        <v/>
      </c>
      <c r="P449" s="20">
        <f>N449/O449-1</f>
        <v/>
      </c>
    </row>
    <row r="450">
      <c r="A450" s="18" t="inlineStr">
        <is>
          <t>2025-10-06</t>
        </is>
      </c>
      <c r="B450" s="19" t="n">
        <v>-0.005154634279878945</v>
      </c>
      <c r="C450" s="19" t="n">
        <v>0.02168752544726837</v>
      </c>
      <c r="D450" s="19" t="n">
        <v>0.002106866124417683</v>
      </c>
      <c r="E450" s="19" t="n">
        <v>-0.002544447392642368</v>
      </c>
      <c r="F450" s="19" t="n">
        <v>0.008299323217172416</v>
      </c>
      <c r="G450" s="19" t="n">
        <v>-0.01221516683969293</v>
      </c>
      <c r="H450" s="19" t="n">
        <v>0.00633228292302257</v>
      </c>
      <c r="I450" s="19" t="n">
        <v>0.02560587141400217</v>
      </c>
      <c r="J450" s="19" t="n">
        <v>-0.0049614015625421</v>
      </c>
      <c r="K450" s="19" t="n">
        <v>-0.05106477886941196</v>
      </c>
      <c r="L450" s="19" t="n">
        <v>0.003586142555158878</v>
      </c>
      <c r="M450" s="20">
        <f>SUMPRODUCT($B$3:$K$3,B450:K450)</f>
        <v/>
      </c>
      <c r="N450" s="21">
        <f>N449*(1+M450)</f>
        <v/>
      </c>
      <c r="O450" s="21">
        <f>MAX(O449,N450)</f>
        <v/>
      </c>
      <c r="P450" s="20">
        <f>N450/O450-1</f>
        <v/>
      </c>
    </row>
    <row r="451">
      <c r="A451" s="18" t="inlineStr">
        <is>
          <t>2025-10-07</t>
        </is>
      </c>
      <c r="B451" s="19" t="n">
        <v>-0.0008179936161895052</v>
      </c>
      <c r="C451" s="19" t="n">
        <v>-0.008683939078540814</v>
      </c>
      <c r="D451" s="19" t="n">
        <v>-0.004819226693356438</v>
      </c>
      <c r="E451" s="19" t="n">
        <v>0.003879601823792544</v>
      </c>
      <c r="F451" s="19" t="n">
        <v>0.0005254758515866875</v>
      </c>
      <c r="G451" s="19" t="n">
        <v>0.01416118602948457</v>
      </c>
      <c r="H451" s="19" t="n">
        <v>0.003983725247293846</v>
      </c>
      <c r="I451" s="19" t="n">
        <v>0.01339662472464953</v>
      </c>
      <c r="J451" s="19" t="n">
        <v>-0.01750177588030077</v>
      </c>
      <c r="K451" s="19" t="n">
        <v>-0.0009651243362188699</v>
      </c>
      <c r="L451" s="19" t="n">
        <v>-0.003707350859481817</v>
      </c>
      <c r="M451" s="20">
        <f>SUMPRODUCT($B$3:$K$3,B451:K451)</f>
        <v/>
      </c>
      <c r="N451" s="21">
        <f>N450*(1+M451)</f>
        <v/>
      </c>
      <c r="O451" s="21">
        <f>MAX(O450,N451)</f>
        <v/>
      </c>
      <c r="P451" s="20">
        <f>N451/O451-1</f>
        <v/>
      </c>
    </row>
    <row r="452">
      <c r="A452" s="18" t="inlineStr">
        <is>
          <t>2025-10-08</t>
        </is>
      </c>
      <c r="B452" s="19" t="n">
        <v>0.006160336665868238</v>
      </c>
      <c r="C452" s="19" t="n">
        <v>0.001660397212862819</v>
      </c>
      <c r="D452" s="19" t="n">
        <v>-0.01189511831594936</v>
      </c>
      <c r="E452" s="19" t="n">
        <v>0.00423524304056988</v>
      </c>
      <c r="F452" s="19" t="n">
        <v>-0.002100455949616498</v>
      </c>
      <c r="G452" s="19" t="n">
        <v>-0.01212795341995976</v>
      </c>
      <c r="H452" s="19" t="n">
        <v>0.01551087771819115</v>
      </c>
      <c r="I452" s="19" t="n">
        <v>0.009974706220141849</v>
      </c>
      <c r="J452" s="19" t="n">
        <v>0.03166162762014557</v>
      </c>
      <c r="K452" s="19" t="n">
        <v>-0.0019324087118745</v>
      </c>
      <c r="L452" s="19" t="n">
        <v>0.005962925361965521</v>
      </c>
      <c r="M452" s="20">
        <f>SUMPRODUCT($B$3:$K$3,B452:K452)</f>
        <v/>
      </c>
      <c r="N452" s="21">
        <f>N451*(1+M452)</f>
        <v/>
      </c>
      <c r="O452" s="21">
        <f>MAX(O451,N452)</f>
        <v/>
      </c>
      <c r="P452" s="20">
        <f>N452/O452-1</f>
        <v/>
      </c>
    </row>
    <row r="453">
      <c r="A453" s="18" t="inlineStr">
        <is>
          <t>2025-10-09</t>
        </is>
      </c>
      <c r="B453" s="19" t="n">
        <v>-0.01557794318781924</v>
      </c>
      <c r="C453" s="19" t="n">
        <v>-0.00466785665041769</v>
      </c>
      <c r="D453" s="19" t="n">
        <v>0.004933742537515995</v>
      </c>
      <c r="E453" s="19" t="n">
        <v>0.007327795811390869</v>
      </c>
      <c r="F453" s="19" t="n">
        <v>-0.009735134283602287</v>
      </c>
      <c r="G453" s="19" t="n">
        <v>-0.0007298687257818459</v>
      </c>
      <c r="H453" s="19" t="n">
        <v>0.01118907849570383</v>
      </c>
      <c r="I453" s="19" t="n">
        <v>-0.003926662698133243</v>
      </c>
      <c r="J453" s="19" t="n">
        <v>-0.003505188854483254</v>
      </c>
      <c r="K453" s="19" t="n">
        <v>-0.01185863608671811</v>
      </c>
      <c r="L453" s="19" t="n">
        <v>-0.002897019428214409</v>
      </c>
      <c r="M453" s="20">
        <f>SUMPRODUCT($B$3:$K$3,B453:K453)</f>
        <v/>
      </c>
      <c r="N453" s="21">
        <f>N452*(1+M453)</f>
        <v/>
      </c>
      <c r="O453" s="21">
        <f>MAX(O452,N453)</f>
        <v/>
      </c>
      <c r="P453" s="20">
        <f>N453/O453-1</f>
        <v/>
      </c>
    </row>
    <row r="454">
      <c r="A454" s="18" t="inlineStr">
        <is>
          <t>2025-10-10</t>
        </is>
      </c>
      <c r="B454" s="19" t="n">
        <v>-0.03452198011875185</v>
      </c>
      <c r="C454" s="19" t="n">
        <v>-0.02189905568939954</v>
      </c>
      <c r="D454" s="19" t="n">
        <v>-0.01518665020569965</v>
      </c>
      <c r="E454" s="19" t="n">
        <v>-0.001884109851590043</v>
      </c>
      <c r="F454" s="19" t="n">
        <v>-0.0193073580552362</v>
      </c>
      <c r="G454" s="19" t="n">
        <v>-0.00591049667323984</v>
      </c>
      <c r="H454" s="19" t="n">
        <v>-0.04992539782966621</v>
      </c>
      <c r="I454" s="19" t="n">
        <v>-0.004300586909912751</v>
      </c>
      <c r="J454" s="19" t="n">
        <v>-0.01810693039377642</v>
      </c>
      <c r="K454" s="19" t="n">
        <v>-0.007224804660285966</v>
      </c>
      <c r="L454" s="19" t="n">
        <v>-0.0270277847535545</v>
      </c>
      <c r="M454" s="20">
        <f>SUMPRODUCT($B$3:$K$3,B454:K454)</f>
        <v/>
      </c>
      <c r="N454" s="21">
        <f>N453*(1+M454)</f>
        <v/>
      </c>
      <c r="O454" s="21">
        <f>MAX(O453,N454)</f>
        <v/>
      </c>
      <c r="P454" s="20">
        <f>N454/O454-1</f>
        <v/>
      </c>
    </row>
    <row r="455">
      <c r="A455" s="18" t="inlineStr">
        <is>
          <t>2025-10-13</t>
        </is>
      </c>
      <c r="B455" s="19" t="n">
        <v>0.009744326783560853</v>
      </c>
      <c r="C455" s="19" t="n">
        <v>0.006047510424079139</v>
      </c>
      <c r="D455" s="19" t="n">
        <v>0.02353017054227835</v>
      </c>
      <c r="E455" s="19" t="n">
        <v>0.0009438332112465808</v>
      </c>
      <c r="F455" s="19" t="n">
        <v>0.01363669750059726</v>
      </c>
      <c r="G455" s="19" t="n">
        <v>-0.0146968843033406</v>
      </c>
      <c r="H455" s="19" t="n">
        <v>0.01710039418833142</v>
      </c>
      <c r="I455" s="19" t="n">
        <v>0.01139783004209272</v>
      </c>
      <c r="J455" s="19" t="n">
        <v>0.02739667301670079</v>
      </c>
      <c r="K455" s="19" t="n">
        <v>-0.002509407513403339</v>
      </c>
      <c r="L455" s="19" t="n">
        <v>0.01534405245669701</v>
      </c>
      <c r="M455" s="20">
        <f>SUMPRODUCT($B$3:$K$3,B455:K455)</f>
        <v/>
      </c>
      <c r="N455" s="21">
        <f>N454*(1+M455)</f>
        <v/>
      </c>
      <c r="O455" s="21">
        <f>MAX(O454,N455)</f>
        <v/>
      </c>
      <c r="P455" s="20">
        <f>N455/O455-1</f>
        <v/>
      </c>
    </row>
    <row r="456">
      <c r="A456" s="18" t="inlineStr">
        <is>
          <t>2025-10-14</t>
        </is>
      </c>
      <c r="B456" s="19" t="n">
        <v>0.0004441308223144258</v>
      </c>
      <c r="C456" s="19" t="n">
        <v>-0.0009336843493278346</v>
      </c>
      <c r="D456" s="19" t="n">
        <v>-0.01912531401164286</v>
      </c>
      <c r="E456" s="19" t="n">
        <v>-0.0002618696462920456</v>
      </c>
      <c r="F456" s="19" t="n">
        <v>0.0004454733673862066</v>
      </c>
      <c r="G456" s="19" t="n">
        <v>0.01132251817507202</v>
      </c>
      <c r="H456" s="19" t="n">
        <v>-0.01672198760437504</v>
      </c>
      <c r="I456" s="19" t="n">
        <v>0.004033258930940642</v>
      </c>
      <c r="J456" s="19" t="n">
        <v>0.04499171781684175</v>
      </c>
      <c r="K456" s="19" t="n">
        <v>0.02012576385024567</v>
      </c>
      <c r="L456" s="19" t="n">
        <v>-0.001221609375677501</v>
      </c>
      <c r="M456" s="20">
        <f>SUMPRODUCT($B$3:$K$3,B456:K456)</f>
        <v/>
      </c>
      <c r="N456" s="21">
        <f>N455*(1+M456)</f>
        <v/>
      </c>
      <c r="O456" s="21">
        <f>MAX(O455,N456)</f>
        <v/>
      </c>
      <c r="P456" s="20">
        <f>N456/O456-1</f>
        <v/>
      </c>
    </row>
    <row r="457">
      <c r="A457" s="18" t="inlineStr">
        <is>
          <t>2025-10-15</t>
        </is>
      </c>
      <c r="B457" s="19" t="n">
        <v>0.006336531753155406</v>
      </c>
      <c r="C457" s="19" t="n">
        <v>-0.0002726564902070239</v>
      </c>
      <c r="D457" s="19" t="n">
        <v>0.01195055392611022</v>
      </c>
      <c r="E457" s="19" t="n">
        <v>0.001676682697712151</v>
      </c>
      <c r="F457" s="19" t="n">
        <v>-0.006055712160363158</v>
      </c>
      <c r="G457" s="19" t="n">
        <v>-0.01166531523467529</v>
      </c>
      <c r="H457" s="19" t="n">
        <v>-0.003789417568938358</v>
      </c>
      <c r="I457" s="19" t="n">
        <v>0.01358687034345474</v>
      </c>
      <c r="J457" s="19" t="n">
        <v>0.01247464964851019</v>
      </c>
      <c r="K457" s="19" t="n">
        <v>-0.004192251759187582</v>
      </c>
      <c r="L457" s="19" t="n">
        <v>0.004439561180749063</v>
      </c>
      <c r="M457" s="20">
        <f>SUMPRODUCT($B$3:$K$3,B457:K457)</f>
        <v/>
      </c>
      <c r="N457" s="21">
        <f>N456*(1+M457)</f>
        <v/>
      </c>
      <c r="O457" s="21">
        <f>MAX(O456,N457)</f>
        <v/>
      </c>
      <c r="P457" s="20">
        <f>N457/O457-1</f>
        <v/>
      </c>
    </row>
    <row r="458">
      <c r="A458" s="18" t="inlineStr">
        <is>
          <t>2025-10-16</t>
        </is>
      </c>
      <c r="B458" s="19" t="n">
        <v>-0.007580061823251549</v>
      </c>
      <c r="C458" s="19" t="n">
        <v>-0.003544841872138216</v>
      </c>
      <c r="D458" s="19" t="n">
        <v>-0.02338982340385654</v>
      </c>
      <c r="E458" s="19" t="n">
        <v>0.004969393751428353</v>
      </c>
      <c r="F458" s="19" t="n">
        <v>-0.008690922959165182</v>
      </c>
      <c r="G458" s="19" t="n">
        <v>0.01478776707253071</v>
      </c>
      <c r="H458" s="19" t="n">
        <v>-0.00510277898660183</v>
      </c>
      <c r="I458" s="19" t="n">
        <v>-0.008625652815713036</v>
      </c>
      <c r="J458" s="19" t="n">
        <v>0.01293892916304151</v>
      </c>
      <c r="K458" s="19" t="n">
        <v>-0.0004952941106434183</v>
      </c>
      <c r="L458" s="19" t="n">
        <v>-0.00681025770778676</v>
      </c>
      <c r="M458" s="20">
        <f>SUMPRODUCT($B$3:$K$3,B458:K458)</f>
        <v/>
      </c>
      <c r="N458" s="21">
        <f>N457*(1+M458)</f>
        <v/>
      </c>
      <c r="O458" s="21">
        <f>MAX(O457,N458)</f>
        <v/>
      </c>
      <c r="P458" s="20">
        <f>N458/O458-1</f>
        <v/>
      </c>
    </row>
    <row r="459">
      <c r="A459" s="18" t="inlineStr">
        <is>
          <t>2025-10-17</t>
        </is>
      </c>
      <c r="B459" s="19" t="n">
        <v>0.01955951768369757</v>
      </c>
      <c r="C459" s="19" t="n">
        <v>0.003850579057302683</v>
      </c>
      <c r="D459" s="19" t="n">
        <v>-0.003282536031229188</v>
      </c>
      <c r="E459" s="19" t="n">
        <v>0.005725603569542326</v>
      </c>
      <c r="F459" s="19" t="n">
        <v>0.01446122368119318</v>
      </c>
      <c r="G459" s="19" t="n">
        <v>0.012031986600747</v>
      </c>
      <c r="H459" s="19" t="n">
        <v>-0.006667636156250767</v>
      </c>
      <c r="I459" s="19" t="n">
        <v>-0.006114198894599299</v>
      </c>
      <c r="J459" s="19" t="n">
        <v>-0.0256580729162813</v>
      </c>
      <c r="K459" s="19" t="n">
        <v>0.00470752644366601</v>
      </c>
      <c r="L459" s="19" t="n">
        <v>0.005676293099704743</v>
      </c>
      <c r="M459" s="20">
        <f>SUMPRODUCT($B$3:$K$3,B459:K459)</f>
        <v/>
      </c>
      <c r="N459" s="21">
        <f>N458*(1+M459)</f>
        <v/>
      </c>
      <c r="O459" s="21">
        <f>MAX(O458,N459)</f>
        <v/>
      </c>
      <c r="P459" s="20">
        <f>N459/O459-1</f>
        <v/>
      </c>
    </row>
    <row r="460">
      <c r="A460" s="18" t="inlineStr">
        <is>
          <t>2025-10-20</t>
        </is>
      </c>
      <c r="B460" s="19" t="n">
        <v>0.03943872556830819</v>
      </c>
      <c r="C460" s="19" t="n">
        <v>0.006250249001671815</v>
      </c>
      <c r="D460" s="19" t="n">
        <v>0.01613107398650437</v>
      </c>
      <c r="E460" s="19" t="n">
        <v>0.002587738097583614</v>
      </c>
      <c r="F460" s="19" t="n">
        <v>0.004098368968754595</v>
      </c>
      <c r="G460" s="19" t="n">
        <v>0.00369894011717542</v>
      </c>
      <c r="H460" s="19" t="n">
        <v>0.01614721437202626</v>
      </c>
      <c r="I460" s="19" t="n">
        <v>0.002839183706365045</v>
      </c>
      <c r="J460" s="19" t="n">
        <v>0.01067401144901803</v>
      </c>
      <c r="K460" s="19" t="n">
        <v>0.006165320214585268</v>
      </c>
      <c r="L460" s="19" t="n">
        <v>0.0104005123509392</v>
      </c>
      <c r="M460" s="20">
        <f>SUMPRODUCT($B$3:$K$3,B460:K460)</f>
        <v/>
      </c>
      <c r="N460" s="21">
        <f>N459*(1+M460)</f>
        <v/>
      </c>
      <c r="O460" s="21">
        <f>MAX(O459,N460)</f>
        <v/>
      </c>
      <c r="P460" s="20">
        <f>N460/O460-1</f>
        <v/>
      </c>
    </row>
    <row r="461">
      <c r="A461" s="18" t="inlineStr">
        <is>
          <t>2025-10-21</t>
        </is>
      </c>
      <c r="B461" s="19" t="n">
        <v>0.002021035212009803</v>
      </c>
      <c r="C461" s="19" t="n">
        <v>0.001683616950768352</v>
      </c>
      <c r="D461" s="19" t="n">
        <v>-0.01742950054724057</v>
      </c>
      <c r="E461" s="19" t="n">
        <v>-0.009498193999694093</v>
      </c>
      <c r="F461" s="19" t="n">
        <v>8.881461123655399e-05</v>
      </c>
      <c r="G461" s="19" t="n">
        <v>-0.002237564035243667</v>
      </c>
      <c r="H461" s="19" t="n">
        <v>0.02563748688697798</v>
      </c>
      <c r="I461" s="19" t="n">
        <v>-0.009201269376861831</v>
      </c>
      <c r="J461" s="19" t="n">
        <v>-0.01229342035305692</v>
      </c>
      <c r="K461" s="19" t="n">
        <v>-0.01225498571637873</v>
      </c>
      <c r="L461" s="19" t="n">
        <v>-1.4979984718555e-05</v>
      </c>
      <c r="M461" s="20">
        <f>SUMPRODUCT($B$3:$K$3,B461:K461)</f>
        <v/>
      </c>
      <c r="N461" s="21">
        <f>N460*(1+M461)</f>
        <v/>
      </c>
      <c r="O461" s="21">
        <f>MAX(O460,N461)</f>
        <v/>
      </c>
      <c r="P461" s="20">
        <f>N461/O461-1</f>
        <v/>
      </c>
    </row>
    <row r="462">
      <c r="A462" s="18" t="inlineStr">
        <is>
          <t>2025-10-22</t>
        </is>
      </c>
      <c r="B462" s="19" t="n">
        <v>-0.01644014395092441</v>
      </c>
      <c r="C462" s="19" t="n">
        <v>0.005563394764465102</v>
      </c>
      <c r="D462" s="19" t="n">
        <v>-0.01003068839326149</v>
      </c>
      <c r="E462" s="19" t="n">
        <v>0.00552419249260816</v>
      </c>
      <c r="F462" s="19" t="n">
        <v>0.01774455856824342</v>
      </c>
      <c r="G462" s="19" t="n">
        <v>0.003825453009946633</v>
      </c>
      <c r="H462" s="19" t="n">
        <v>-0.01837590349721308</v>
      </c>
      <c r="I462" s="19" t="n">
        <v>-0.01369211441412721</v>
      </c>
      <c r="J462" s="19" t="n">
        <v>-0.02047074700464846</v>
      </c>
      <c r="K462" s="19" t="n">
        <v>-0.01240683490854011</v>
      </c>
      <c r="L462" s="19" t="n">
        <v>-0.005198959693403782</v>
      </c>
      <c r="M462" s="20">
        <f>SUMPRODUCT($B$3:$K$3,B462:K462)</f>
        <v/>
      </c>
      <c r="N462" s="21">
        <f>N461*(1+M462)</f>
        <v/>
      </c>
      <c r="O462" s="21">
        <f>MAX(O461,N462)</f>
        <v/>
      </c>
      <c r="P462" s="20">
        <f>N462/O462-1</f>
        <v/>
      </c>
    </row>
    <row r="463">
      <c r="A463" s="18" t="inlineStr">
        <is>
          <t>2025-10-23</t>
        </is>
      </c>
      <c r="B463" s="19" t="n">
        <v>0.004372033633252448</v>
      </c>
      <c r="C463" s="19" t="n">
        <v>3.830271677385255e-05</v>
      </c>
      <c r="D463" s="19" t="n">
        <v>0.001462252778517081</v>
      </c>
      <c r="E463" s="19" t="n">
        <v>-0.002435903677242557</v>
      </c>
      <c r="F463" s="19" t="n">
        <v>0.0110714779445078</v>
      </c>
      <c r="G463" s="19" t="n">
        <v>6.57403232462439e-05</v>
      </c>
      <c r="H463" s="19" t="n">
        <v>0.01440697147793091</v>
      </c>
      <c r="I463" s="19" t="n">
        <v>0.00494937124538386</v>
      </c>
      <c r="J463" s="19" t="n">
        <v>0.01282328564805302</v>
      </c>
      <c r="K463" s="19" t="n">
        <v>-0.03517583690587922</v>
      </c>
      <c r="L463" s="19" t="n">
        <v>0.005929999418908372</v>
      </c>
      <c r="M463" s="20">
        <f>SUMPRODUCT($B$3:$K$3,B463:K463)</f>
        <v/>
      </c>
      <c r="N463" s="21">
        <f>N462*(1+M463)</f>
        <v/>
      </c>
      <c r="O463" s="21">
        <f>MAX(O462,N463)</f>
        <v/>
      </c>
      <c r="P463" s="20">
        <f>N463/O463-1</f>
        <v/>
      </c>
    </row>
    <row r="464">
      <c r="A464" s="18" t="inlineStr">
        <is>
          <t>2025-10-24</t>
        </is>
      </c>
      <c r="B464" s="19" t="n">
        <v>0.01248187084929331</v>
      </c>
      <c r="C464" s="19" t="n">
        <v>0.005859263712852281</v>
      </c>
      <c r="D464" s="19" t="n">
        <v>0.02003119681525156</v>
      </c>
      <c r="E464" s="19" t="n">
        <v>-0.0107551079304653</v>
      </c>
      <c r="F464" s="19" t="n">
        <v>-0.005087063004609482</v>
      </c>
      <c r="G464" s="19" t="n">
        <v>0.008845258896650554</v>
      </c>
      <c r="H464" s="19" t="n">
        <v>0.0141119472959248</v>
      </c>
      <c r="I464" s="19" t="n">
        <v>0.01393393157839617</v>
      </c>
      <c r="J464" s="19" t="n">
        <v>0.004284294322548954</v>
      </c>
      <c r="K464" s="19" t="n">
        <v>0.01093738197276228</v>
      </c>
      <c r="L464" s="19" t="n">
        <v>0.008172552647061071</v>
      </c>
      <c r="M464" s="20">
        <f>SUMPRODUCT($B$3:$K$3,B464:K464)</f>
        <v/>
      </c>
      <c r="N464" s="21">
        <f>N463*(1+M464)</f>
        <v/>
      </c>
      <c r="O464" s="21">
        <f>MAX(O463,N464)</f>
        <v/>
      </c>
      <c r="P464" s="20">
        <f>N464/O464-1</f>
        <v/>
      </c>
    </row>
    <row r="465">
      <c r="A465" s="18" t="inlineStr">
        <is>
          <t>2025-10-27</t>
        </is>
      </c>
      <c r="B465" s="19" t="n">
        <v>0.02279115518059194</v>
      </c>
      <c r="C465" s="19" t="n">
        <v>0.01510667931707088</v>
      </c>
      <c r="D465" s="19" t="n">
        <v>0.0123484338074249</v>
      </c>
      <c r="E465" s="19" t="n">
        <v>-0.0005251147090464814</v>
      </c>
      <c r="F465" s="19" t="n">
        <v>0.004766437163228554</v>
      </c>
      <c r="G465" s="19" t="n">
        <v>-0.004918377056275292</v>
      </c>
      <c r="H465" s="19" t="n">
        <v>0.01230986318268212</v>
      </c>
      <c r="I465" s="19" t="n">
        <v>0.0191920581021765</v>
      </c>
      <c r="J465" s="19" t="n">
        <v>0.008302604591965856</v>
      </c>
      <c r="K465" s="19" t="n">
        <v>0.01056155421295446</v>
      </c>
      <c r="L465" s="19" t="n">
        <v>0.01179771954420028</v>
      </c>
      <c r="M465" s="20">
        <f>SUMPRODUCT($B$3:$K$3,B465:K465)</f>
        <v/>
      </c>
      <c r="N465" s="21">
        <f>N464*(1+M465)</f>
        <v/>
      </c>
      <c r="O465" s="21">
        <f>MAX(O464,N465)</f>
        <v/>
      </c>
      <c r="P465" s="20">
        <f>N465/O465-1</f>
        <v/>
      </c>
    </row>
    <row r="466">
      <c r="A466" s="18" t="inlineStr">
        <is>
          <t>2025-10-28</t>
        </is>
      </c>
      <c r="B466" s="19" t="n">
        <v>0.0007068183069018907</v>
      </c>
      <c r="C466" s="19" t="n">
        <v>0.01984865975815064</v>
      </c>
      <c r="D466" s="19" t="n">
        <v>0.003978285606592635</v>
      </c>
      <c r="E466" s="19" t="n">
        <v>-0.01770889359692507</v>
      </c>
      <c r="F466" s="19" t="n">
        <v>-0.007849024735756105</v>
      </c>
      <c r="G466" s="19" t="n">
        <v>-0.002438345679085963</v>
      </c>
      <c r="H466" s="19" t="n">
        <v>0.01004537501447089</v>
      </c>
      <c r="I466" s="19" t="n">
        <v>-0.02859463007135954</v>
      </c>
      <c r="J466" s="19" t="n">
        <v>-0.004932970323884289</v>
      </c>
      <c r="K466" s="19" t="n">
        <v>0.00229426217947859</v>
      </c>
      <c r="L466" s="19" t="n">
        <v>0.002655948997136059</v>
      </c>
      <c r="M466" s="20">
        <f>SUMPRODUCT($B$3:$K$3,B466:K466)</f>
        <v/>
      </c>
      <c r="N466" s="21">
        <f>N465*(1+M466)</f>
        <v/>
      </c>
      <c r="O466" s="21">
        <f>MAX(O465,N466)</f>
        <v/>
      </c>
      <c r="P466" s="20">
        <f>N466/O466-1</f>
        <v/>
      </c>
    </row>
    <row r="467">
      <c r="A467" s="18" t="inlineStr">
        <is>
          <t>2025-10-29</t>
        </is>
      </c>
      <c r="B467" s="19" t="n">
        <v>0.002602324032269898</v>
      </c>
      <c r="C467" s="19" t="n">
        <v>-0.0009592681136213477</v>
      </c>
      <c r="D467" s="19" t="n">
        <v>0.000491286182563444</v>
      </c>
      <c r="E467" s="19" t="n">
        <v>-0.001765263006158868</v>
      </c>
      <c r="F467" s="19" t="n">
        <v>0.0123447530363503</v>
      </c>
      <c r="G467" s="19" t="n">
        <v>-0.01717650329697895</v>
      </c>
      <c r="H467" s="19" t="n">
        <v>0.004580165983676387</v>
      </c>
      <c r="I467" s="19" t="n">
        <v>-0.02165851074670222</v>
      </c>
      <c r="J467" s="19" t="n">
        <v>0.1163459912766178</v>
      </c>
      <c r="K467" s="19" t="n">
        <v>0.02263466188669505</v>
      </c>
      <c r="L467" s="19" t="n">
        <v>0.0004803064047766981</v>
      </c>
      <c r="M467" s="20">
        <f>SUMPRODUCT($B$3:$K$3,B467:K467)</f>
        <v/>
      </c>
      <c r="N467" s="21">
        <f>N466*(1+M467)</f>
        <v/>
      </c>
      <c r="O467" s="21">
        <f>MAX(O466,N467)</f>
        <v/>
      </c>
      <c r="P467" s="20">
        <f>N467/O467-1</f>
        <v/>
      </c>
    </row>
    <row r="468">
      <c r="A468" s="18" t="inlineStr">
        <is>
          <t>2025-10-30</t>
        </is>
      </c>
      <c r="B468" s="19" t="n">
        <v>0.006303233933794949</v>
      </c>
      <c r="C468" s="19" t="n">
        <v>-0.02915713910891493</v>
      </c>
      <c r="D468" s="19" t="n">
        <v>0.01286381724172547</v>
      </c>
      <c r="E468" s="19" t="n">
        <v>0.01312964369252168</v>
      </c>
      <c r="F468" s="19" t="n">
        <v>-0.01511384122194837</v>
      </c>
      <c r="G468" s="19" t="n">
        <v>0.005444716504938496</v>
      </c>
      <c r="H468" s="19" t="n">
        <v>-0.03230569840563202</v>
      </c>
      <c r="I468" s="19" t="n">
        <v>-0.001467782885632318</v>
      </c>
      <c r="J468" s="19" t="n">
        <v>-0.003996579544623846</v>
      </c>
      <c r="K468" s="19" t="n">
        <v>-0.03108676025840673</v>
      </c>
      <c r="L468" s="19" t="n">
        <v>-0.01099803535993127</v>
      </c>
      <c r="M468" s="20">
        <f>SUMPRODUCT($B$3:$K$3,B468:K468)</f>
        <v/>
      </c>
      <c r="N468" s="21">
        <f>N467*(1+M468)</f>
        <v/>
      </c>
      <c r="O468" s="21">
        <f>MAX(O467,N468)</f>
        <v/>
      </c>
      <c r="P468" s="20">
        <f>N468/O468-1</f>
        <v/>
      </c>
    </row>
    <row r="469">
      <c r="A469" s="18" t="inlineStr">
        <is>
          <t>2025-10-31</t>
        </is>
      </c>
      <c r="B469" s="19" t="n">
        <v>-0.003795156573486058</v>
      </c>
      <c r="C469" s="19" t="n">
        <v>-0.01512098426031827</v>
      </c>
      <c r="D469" s="19" t="n">
        <v>0.005429014470537119</v>
      </c>
      <c r="E469" s="19" t="n">
        <v>-0.0009521706139201669</v>
      </c>
      <c r="F469" s="19" t="n">
        <v>-0.002877289998729049</v>
      </c>
      <c r="G469" s="19" t="n">
        <v>0.005281438984081621</v>
      </c>
      <c r="H469" s="19" t="n">
        <v>0.09584492754129248</v>
      </c>
      <c r="I469" s="19" t="n">
        <v>-0.002939688603356583</v>
      </c>
      <c r="J469" s="19" t="n">
        <v>-0.01010035700227607</v>
      </c>
      <c r="K469" s="19" t="n">
        <v>0.02002061406805766</v>
      </c>
      <c r="L469" s="19" t="n">
        <v>0.003280290758613136</v>
      </c>
      <c r="M469" s="20">
        <f>SUMPRODUCT($B$3:$K$3,B469:K469)</f>
        <v/>
      </c>
      <c r="N469" s="21">
        <f>N468*(1+M469)</f>
        <v/>
      </c>
      <c r="O469" s="21">
        <f>MAX(O468,N469)</f>
        <v/>
      </c>
      <c r="P469" s="20">
        <f>N469/O469-1</f>
        <v/>
      </c>
    </row>
    <row r="470">
      <c r="A470" s="18" t="inlineStr">
        <is>
          <t>2025-11-03</t>
        </is>
      </c>
      <c r="B470" s="19" t="n">
        <v>-0.004882134417416251</v>
      </c>
      <c r="C470" s="19" t="n">
        <v>-0.001506197705264944</v>
      </c>
      <c r="D470" s="19" t="n">
        <v>-0.005688993906809547</v>
      </c>
      <c r="E470" s="19" t="n">
        <v>-0.01381901297060251</v>
      </c>
      <c r="F470" s="19" t="n">
        <v>-0.005246650728575109</v>
      </c>
      <c r="G470" s="19" t="n">
        <v>-0.01562808931628978</v>
      </c>
      <c r="H470" s="19" t="n">
        <v>0.04004585509136338</v>
      </c>
      <c r="I470" s="19" t="n">
        <v>0.004668310448815882</v>
      </c>
      <c r="J470" s="19" t="n">
        <v>-0.01155442406489438</v>
      </c>
      <c r="K470" s="19" t="n">
        <v>-0.006794153833869832</v>
      </c>
      <c r="L470" s="19" t="n">
        <v>0.001876606030411621</v>
      </c>
      <c r="M470" s="20">
        <f>SUMPRODUCT($B$3:$K$3,B470:K470)</f>
        <v/>
      </c>
      <c r="N470" s="21">
        <f>N469*(1+M470)</f>
        <v/>
      </c>
      <c r="O470" s="21">
        <f>MAX(O469,N470)</f>
        <v/>
      </c>
      <c r="P470" s="20">
        <f>N470/O470-1</f>
        <v/>
      </c>
    </row>
    <row r="471">
      <c r="A471" s="18" t="inlineStr">
        <is>
          <t>2025-11-04</t>
        </is>
      </c>
      <c r="B471" s="19" t="n">
        <v>0.003679735712960985</v>
      </c>
      <c r="C471" s="19" t="n">
        <v>-0.005222276125425029</v>
      </c>
      <c r="D471" s="19" t="n">
        <v>-0.000323266320521931</v>
      </c>
      <c r="E471" s="19" t="n">
        <v>0.003221304588568508</v>
      </c>
      <c r="F471" s="19" t="n">
        <v>0.003340471440818504</v>
      </c>
      <c r="G471" s="19" t="n">
        <v>-0.005742499385104849</v>
      </c>
      <c r="H471" s="19" t="n">
        <v>-0.01842516801488681</v>
      </c>
      <c r="I471" s="19" t="n">
        <v>-0.001100615953364859</v>
      </c>
      <c r="J471" s="19" t="n">
        <v>-0.04032667202338069</v>
      </c>
      <c r="K471" s="19" t="n">
        <v>-0.003800350070708447</v>
      </c>
      <c r="L471" s="19" t="n">
        <v>-0.01185364051531801</v>
      </c>
      <c r="M471" s="20">
        <f>SUMPRODUCT($B$3:$K$3,B471:K471)</f>
        <v/>
      </c>
      <c r="N471" s="21">
        <f>N470*(1+M471)</f>
        <v/>
      </c>
      <c r="O471" s="21">
        <f>MAX(O470,N471)</f>
        <v/>
      </c>
      <c r="P471" s="20">
        <f>N471/O471-1</f>
        <v/>
      </c>
    </row>
    <row r="472">
      <c r="A472" s="18" t="inlineStr">
        <is>
          <t>2025-11-05</t>
        </is>
      </c>
      <c r="B472" s="19" t="n">
        <v>0.0003702315251463695</v>
      </c>
      <c r="C472" s="19" t="n">
        <v>-0.01394039134890268</v>
      </c>
      <c r="D472" s="19" t="n">
        <v>0.007857681594103161</v>
      </c>
      <c r="E472" s="19" t="n">
        <v>-0.004602474999300665</v>
      </c>
      <c r="F472" s="19" t="n">
        <v>-0.00403014613965369</v>
      </c>
      <c r="G472" s="19" t="n">
        <v>-0.009376965104877844</v>
      </c>
      <c r="H472" s="19" t="n">
        <v>0.003529558792604526</v>
      </c>
      <c r="I472" s="19" t="n">
        <v>0.00550866282506246</v>
      </c>
      <c r="J472" s="19" t="n">
        <v>0.03939145861976923</v>
      </c>
      <c r="K472" s="19" t="n">
        <v>0.009409856083235413</v>
      </c>
      <c r="L472" s="19" t="n">
        <v>0.003465493850233203</v>
      </c>
      <c r="M472" s="20">
        <f>SUMPRODUCT($B$3:$K$3,B472:K472)</f>
        <v/>
      </c>
      <c r="N472" s="21">
        <f>N471*(1+M472)</f>
        <v/>
      </c>
      <c r="O472" s="21">
        <f>MAX(O471,N472)</f>
        <v/>
      </c>
      <c r="P472" s="20">
        <f>N472/O472-1</f>
        <v/>
      </c>
    </row>
    <row r="473">
      <c r="A473" s="18" t="inlineStr">
        <is>
          <t>2025-11-06</t>
        </is>
      </c>
      <c r="B473" s="19" t="n">
        <v>-0.001369712504375342</v>
      </c>
      <c r="C473" s="19" t="n">
        <v>-0.01983594978633152</v>
      </c>
      <c r="D473" s="19" t="n">
        <v>0.005582745415031676</v>
      </c>
      <c r="E473" s="19" t="n">
        <v>0.005215230711737018</v>
      </c>
      <c r="F473" s="19" t="n">
        <v>0.007213177925193603</v>
      </c>
      <c r="G473" s="19" t="n">
        <v>0.002332220398358453</v>
      </c>
      <c r="H473" s="19" t="n">
        <v>-0.02861712130072702</v>
      </c>
      <c r="I473" s="19" t="n">
        <v>-0.001704364068294217</v>
      </c>
      <c r="J473" s="19" t="n">
        <v>0.001106889320562576</v>
      </c>
      <c r="K473" s="19" t="n">
        <v>0.003275380590886723</v>
      </c>
      <c r="L473" s="19" t="n">
        <v>-0.0107292383969777</v>
      </c>
      <c r="M473" s="20">
        <f>SUMPRODUCT($B$3:$K$3,B473:K473)</f>
        <v/>
      </c>
      <c r="N473" s="21">
        <f>N472*(1+M473)</f>
        <v/>
      </c>
      <c r="O473" s="21">
        <f>MAX(O472,N473)</f>
        <v/>
      </c>
      <c r="P473" s="20">
        <f>N473/O473-1</f>
        <v/>
      </c>
    </row>
    <row r="474">
      <c r="A474" s="18" t="inlineStr">
        <is>
          <t>2025-11-07</t>
        </is>
      </c>
      <c r="B474" s="19" t="n">
        <v>-0.004818849477972176</v>
      </c>
      <c r="C474" s="19" t="n">
        <v>-0.0005632566285092011</v>
      </c>
      <c r="D474" s="19" t="n">
        <v>0.0025204530673133</v>
      </c>
      <c r="E474" s="19" t="n">
        <v>-0.002139408986702729</v>
      </c>
      <c r="F474" s="19" t="n">
        <v>0.02375552030023109</v>
      </c>
      <c r="G474" s="19" t="n">
        <v>0.005816557532159594</v>
      </c>
      <c r="H474" s="19" t="n">
        <v>0.005636975040414827</v>
      </c>
      <c r="I474" s="19" t="n">
        <v>0.02353658478222376</v>
      </c>
      <c r="J474" s="19" t="n">
        <v>-0.01172389079142</v>
      </c>
      <c r="K474" s="19" t="n">
        <v>0.00527382656931219</v>
      </c>
      <c r="L474" s="19" t="n">
        <v>0.0009844327822743359</v>
      </c>
      <c r="M474" s="20">
        <f>SUMPRODUCT($B$3:$K$3,B474:K474)</f>
        <v/>
      </c>
      <c r="N474" s="21">
        <f>N473*(1+M474)</f>
        <v/>
      </c>
      <c r="O474" s="21">
        <f>MAX(O473,N474)</f>
        <v/>
      </c>
      <c r="P474" s="20">
        <f>N474/O474-1</f>
        <v/>
      </c>
    </row>
    <row r="475">
      <c r="A475" s="18" t="inlineStr">
        <is>
          <t>2025-11-10</t>
        </is>
      </c>
      <c r="B475" s="19" t="n">
        <v>0.004548510139593898</v>
      </c>
      <c r="C475" s="19" t="n">
        <v>0.01847742600984725</v>
      </c>
      <c r="D475" s="19" t="n">
        <v>0.008529358659487229</v>
      </c>
      <c r="E475" s="19" t="n">
        <v>0.009862197021654584</v>
      </c>
      <c r="F475" s="19" t="n">
        <v>0.008530887641206464</v>
      </c>
      <c r="G475" s="19" t="n">
        <v>-0.0100692505062483</v>
      </c>
      <c r="H475" s="19" t="n">
        <v>0.01632498741700905</v>
      </c>
      <c r="I475" s="19" t="n">
        <v>0.01000818063072018</v>
      </c>
      <c r="J475" s="19" t="n">
        <v>0.01376312270482849</v>
      </c>
      <c r="K475" s="19" t="n">
        <v>-0.004496722213881754</v>
      </c>
      <c r="L475" s="19" t="n">
        <v>0.01560431768187742</v>
      </c>
      <c r="M475" s="20">
        <f>SUMPRODUCT($B$3:$K$3,B475:K475)</f>
        <v/>
      </c>
      <c r="N475" s="21">
        <f>N474*(1+M475)</f>
        <v/>
      </c>
      <c r="O475" s="21">
        <f>MAX(O474,N475)</f>
        <v/>
      </c>
      <c r="P475" s="20">
        <f>N475/O475-1</f>
        <v/>
      </c>
    </row>
    <row r="476">
      <c r="A476" s="18" t="inlineStr">
        <is>
          <t>2025-11-11</t>
        </is>
      </c>
      <c r="B476" s="19" t="n">
        <v>0.02160126704839405</v>
      </c>
      <c r="C476" s="19" t="n">
        <v>0.005296528491423036</v>
      </c>
      <c r="D476" s="19" t="n">
        <v>-0.004007826953764337</v>
      </c>
      <c r="E476" s="19" t="n">
        <v>0.02876707371375797</v>
      </c>
      <c r="F476" s="19" t="n">
        <v>0.0131957312908626</v>
      </c>
      <c r="G476" s="19" t="n">
        <v>0.02089330819146551</v>
      </c>
      <c r="H476" s="19" t="n">
        <v>0.002818084638612772</v>
      </c>
      <c r="I476" s="19" t="n">
        <v>0.01167882265527531</v>
      </c>
      <c r="J476" s="19" t="n">
        <v>-0.005115211393632912</v>
      </c>
      <c r="K476" s="19" t="n">
        <v>0.02133006440108853</v>
      </c>
      <c r="L476" s="19" t="n">
        <v>0.002289339069340812</v>
      </c>
      <c r="M476" s="20">
        <f>SUMPRODUCT($B$3:$K$3,B476:K476)</f>
        <v/>
      </c>
      <c r="N476" s="21">
        <f>N475*(1+M476)</f>
        <v/>
      </c>
      <c r="O476" s="21">
        <f>MAX(O475,N476)</f>
        <v/>
      </c>
      <c r="P476" s="20">
        <f>N476/O476-1</f>
        <v/>
      </c>
    </row>
    <row r="477">
      <c r="A477" s="18" t="inlineStr">
        <is>
          <t>2025-11-12</t>
        </is>
      </c>
      <c r="B477" s="19" t="n">
        <v>-0.006466658691784311</v>
      </c>
      <c r="C477" s="19" t="n">
        <v>0.004836018091259886</v>
      </c>
      <c r="D477" s="19" t="n">
        <v>0.01517656602172002</v>
      </c>
      <c r="E477" s="19" t="n">
        <v>0.002889103689610151</v>
      </c>
      <c r="F477" s="19" t="n">
        <v>-0.01385873451378128</v>
      </c>
      <c r="G477" s="19" t="n">
        <v>-0.003567979315234004</v>
      </c>
      <c r="H477" s="19" t="n">
        <v>-0.01967085120518697</v>
      </c>
      <c r="I477" s="19" t="n">
        <v>0.001515734878366537</v>
      </c>
      <c r="J477" s="19" t="n">
        <v>0.008962476731231073</v>
      </c>
      <c r="K477" s="19" t="n">
        <v>0.002456999554668826</v>
      </c>
      <c r="L477" s="19" t="n">
        <v>0.0005563267009809358</v>
      </c>
      <c r="M477" s="20">
        <f>SUMPRODUCT($B$3:$K$3,B477:K477)</f>
        <v/>
      </c>
      <c r="N477" s="21">
        <f>N476*(1+M477)</f>
        <v/>
      </c>
      <c r="O477" s="21">
        <f>MAX(O476,N477)</f>
        <v/>
      </c>
      <c r="P477" s="20">
        <f>N477/O477-1</f>
        <v/>
      </c>
    </row>
    <row r="478">
      <c r="A478" s="18" t="inlineStr">
        <is>
          <t>2025-11-13</t>
        </is>
      </c>
      <c r="B478" s="19" t="n">
        <v>-0.001901699959750425</v>
      </c>
      <c r="C478" s="19" t="n">
        <v>-0.01535784753924696</v>
      </c>
      <c r="D478" s="19" t="n">
        <v>-0.03411247895856662</v>
      </c>
      <c r="E478" s="19" t="n">
        <v>0.004424110717145213</v>
      </c>
      <c r="F478" s="19" t="n">
        <v>0.005672282744545898</v>
      </c>
      <c r="G478" s="19" t="n">
        <v>-0.0003377673420608129</v>
      </c>
      <c r="H478" s="19" t="n">
        <v>-0.02710890745256889</v>
      </c>
      <c r="I478" s="19" t="n">
        <v>-0.02212125711909829</v>
      </c>
      <c r="J478" s="19" t="n">
        <v>-0.03397808909912914</v>
      </c>
      <c r="K478" s="19" t="n">
        <v>0.007598030262502053</v>
      </c>
      <c r="L478" s="19" t="n">
        <v>-0.01659394535989556</v>
      </c>
      <c r="M478" s="20">
        <f>SUMPRODUCT($B$3:$K$3,B478:K478)</f>
        <v/>
      </c>
      <c r="N478" s="21">
        <f>N477*(1+M478)</f>
        <v/>
      </c>
      <c r="O478" s="21">
        <f>MAX(O477,N478)</f>
        <v/>
      </c>
      <c r="P478" s="20">
        <f>N478/O478-1</f>
        <v/>
      </c>
    </row>
    <row r="479">
      <c r="A479" s="18" t="inlineStr">
        <is>
          <t>2025-11-14</t>
        </is>
      </c>
      <c r="B479" s="19" t="n">
        <v>-0.001978307454046369</v>
      </c>
      <c r="C479" s="19" t="n">
        <v>0.0136899146212095</v>
      </c>
      <c r="D479" s="19" t="n">
        <v>-0.01896749242803442</v>
      </c>
      <c r="E479" s="19" t="n">
        <v>0.003482688921609745</v>
      </c>
      <c r="F479" s="19" t="n">
        <v>0.01299243901444513</v>
      </c>
      <c r="G479" s="19" t="n">
        <v>-0.001960028780543133</v>
      </c>
      <c r="H479" s="19" t="n">
        <v>-0.01216432093347464</v>
      </c>
      <c r="I479" s="19" t="n">
        <v>-0.001309760142698013</v>
      </c>
      <c r="J479" s="19" t="n">
        <v>0.0008674018856311694</v>
      </c>
      <c r="K479" s="19" t="n">
        <v>-0.001216247665447701</v>
      </c>
      <c r="L479" s="19" t="n">
        <v>-0.0001638639805948694</v>
      </c>
      <c r="M479" s="20">
        <f>SUMPRODUCT($B$3:$K$3,B479:K479)</f>
        <v/>
      </c>
      <c r="N479" s="21">
        <f>N478*(1+M479)</f>
        <v/>
      </c>
      <c r="O479" s="21">
        <f>MAX(O478,N479)</f>
        <v/>
      </c>
      <c r="P479" s="20">
        <f>N479/O479-1</f>
        <v/>
      </c>
    </row>
    <row r="480">
      <c r="A480" s="18" t="inlineStr">
        <is>
          <t>2025-11-17</t>
        </is>
      </c>
      <c r="B480" s="19" t="n">
        <v>-0.01817121802720711</v>
      </c>
      <c r="C480" s="19" t="n">
        <v>-0.005272612827346812</v>
      </c>
      <c r="D480" s="19" t="n">
        <v>-0.01067150094225966</v>
      </c>
      <c r="E480" s="19" t="n">
        <v>0.01862914171605823</v>
      </c>
      <c r="F480" s="19" t="n">
        <v>-0.01349659527006908</v>
      </c>
      <c r="G480" s="19" t="n">
        <v>-0.01252785602340256</v>
      </c>
      <c r="H480" s="19" t="n">
        <v>-0.007754941860691922</v>
      </c>
      <c r="I480" s="19" t="n">
        <v>0.02229381370950989</v>
      </c>
      <c r="J480" s="19" t="n">
        <v>-0.003574003598942332</v>
      </c>
      <c r="K480" s="19" t="n">
        <v>-0.001217826299583891</v>
      </c>
      <c r="L480" s="19" t="n">
        <v>-0.009316344755070927</v>
      </c>
      <c r="M480" s="20">
        <f>SUMPRODUCT($B$3:$K$3,B480:K480)</f>
        <v/>
      </c>
      <c r="N480" s="21">
        <f>N479*(1+M480)</f>
        <v/>
      </c>
      <c r="O480" s="21">
        <f>MAX(O479,N480)</f>
        <v/>
      </c>
      <c r="P480" s="20">
        <f>N480/O480-1</f>
        <v/>
      </c>
    </row>
    <row r="481">
      <c r="A481" s="18" t="inlineStr">
        <is>
          <t>2025-11-18</t>
        </is>
      </c>
      <c r="B481" s="19" t="n">
        <v>-7.482548157744517e-05</v>
      </c>
      <c r="C481" s="19" t="n">
        <v>-0.02699553593920878</v>
      </c>
      <c r="D481" s="19" t="n">
        <v>-0.003195971608445647</v>
      </c>
      <c r="E481" s="19" t="n">
        <v>0.002104380822412821</v>
      </c>
      <c r="F481" s="19" t="n">
        <v>0.01147189864621301</v>
      </c>
      <c r="G481" s="19" t="n">
        <v>0.008023634464231266</v>
      </c>
      <c r="H481" s="19" t="n">
        <v>-0.04431653833391602</v>
      </c>
      <c r="I481" s="19" t="n">
        <v>-0.01294446959472018</v>
      </c>
      <c r="J481" s="19" t="n">
        <v>-0.009365006090201744</v>
      </c>
      <c r="K481" s="19" t="n">
        <v>0.01146060704523699</v>
      </c>
      <c r="L481" s="19" t="n">
        <v>-0.008397553718616058</v>
      </c>
      <c r="M481" s="20">
        <f>SUMPRODUCT($B$3:$K$3,B481:K481)</f>
        <v/>
      </c>
      <c r="N481" s="21">
        <f>N480*(1+M481)</f>
        <v/>
      </c>
      <c r="O481" s="21">
        <f>MAX(O480,N481)</f>
        <v/>
      </c>
      <c r="P481" s="20">
        <f>N481/O481-1</f>
        <v/>
      </c>
    </row>
    <row r="482">
      <c r="A482" s="18" t="inlineStr">
        <is>
          <t>2025-11-19</t>
        </is>
      </c>
      <c r="B482" s="19" t="n">
        <v>0.004188023274067865</v>
      </c>
      <c r="C482" s="19" t="n">
        <v>-0.01350782971834696</v>
      </c>
      <c r="D482" s="19" t="n">
        <v>0.01289196347912736</v>
      </c>
      <c r="E482" s="19" t="n">
        <v>0.01254999774151511</v>
      </c>
      <c r="F482" s="19" t="n">
        <v>-0.01411412334223416</v>
      </c>
      <c r="G482" s="19" t="n">
        <v>0</v>
      </c>
      <c r="H482" s="19" t="n">
        <v>0.0006290693674619874</v>
      </c>
      <c r="I482" s="19" t="n">
        <v>-0.004371563315848759</v>
      </c>
      <c r="J482" s="19" t="n">
        <v>0.01139185641490914</v>
      </c>
      <c r="K482" s="19" t="n">
        <v>-0.006991217104224234</v>
      </c>
      <c r="L482" s="19" t="n">
        <v>0.003863236529352942</v>
      </c>
      <c r="M482" s="20">
        <f>SUMPRODUCT($B$3:$K$3,B482:K482)</f>
        <v/>
      </c>
      <c r="N482" s="21">
        <f>N481*(1+M482)</f>
        <v/>
      </c>
      <c r="O482" s="21">
        <f>MAX(O481,N482)</f>
        <v/>
      </c>
      <c r="P482" s="20">
        <f>N482/O482-1</f>
        <v/>
      </c>
    </row>
    <row r="483">
      <c r="A483" s="18" t="inlineStr">
        <is>
          <t>2025-11-20</t>
        </is>
      </c>
      <c r="B483" s="19" t="n">
        <v>-0.008601474473370452</v>
      </c>
      <c r="C483" s="19" t="n">
        <v>-0.01600132392688336</v>
      </c>
      <c r="D483" s="19" t="n">
        <v>-0.01612414009042673</v>
      </c>
      <c r="E483" s="19" t="n">
        <v>0.002765347846196198</v>
      </c>
      <c r="F483" s="19" t="n">
        <v>-0.002812158440364865</v>
      </c>
      <c r="G483" s="19" t="n">
        <v>0.008163728764277067</v>
      </c>
      <c r="H483" s="19" t="n">
        <v>-0.02492255148822009</v>
      </c>
      <c r="I483" s="19" t="n">
        <v>0.0003560627672625216</v>
      </c>
      <c r="J483" s="19" t="n">
        <v>-0.01261947225703419</v>
      </c>
      <c r="K483" s="19" t="n">
        <v>-0.01043951212698802</v>
      </c>
      <c r="L483" s="19" t="n">
        <v>-0.01524227623776697</v>
      </c>
      <c r="M483" s="20">
        <f>SUMPRODUCT($B$3:$K$3,B483:K483)</f>
        <v/>
      </c>
      <c r="N483" s="21">
        <f>N482*(1+M483)</f>
        <v/>
      </c>
      <c r="O483" s="21">
        <f>MAX(O482,N483)</f>
        <v/>
      </c>
      <c r="P483" s="20">
        <f>N483/O483-1</f>
        <v/>
      </c>
    </row>
    <row r="484">
      <c r="A484" s="18" t="inlineStr">
        <is>
          <t>2025-11-21</t>
        </is>
      </c>
      <c r="B484" s="19" t="n">
        <v>0.01968061086817685</v>
      </c>
      <c r="C484" s="19" t="n">
        <v>-0.01318899894610237</v>
      </c>
      <c r="D484" s="19" t="n">
        <v>-0.001206586059553594</v>
      </c>
      <c r="E484" s="19" t="n">
        <v>0.004087178491491095</v>
      </c>
      <c r="F484" s="19" t="n">
        <v>0.0005128220475572043</v>
      </c>
      <c r="G484" s="19" t="n">
        <v>0.01842232682688594</v>
      </c>
      <c r="H484" s="19" t="n">
        <v>0.01634891342791001</v>
      </c>
      <c r="I484" s="19" t="n">
        <v>-0.003021592459481637</v>
      </c>
      <c r="J484" s="19" t="n">
        <v>0.007873437599616784</v>
      </c>
      <c r="K484" s="19" t="n">
        <v>0.01153090019203429</v>
      </c>
      <c r="L484" s="19" t="n">
        <v>0.009961197665752319</v>
      </c>
      <c r="M484" s="20">
        <f>SUMPRODUCT($B$3:$K$3,B484:K484)</f>
        <v/>
      </c>
      <c r="N484" s="21">
        <f>N483*(1+M484)</f>
        <v/>
      </c>
      <c r="O484" s="21">
        <f>MAX(O483,N484)</f>
        <v/>
      </c>
      <c r="P484" s="20">
        <f>N484/O484-1</f>
        <v/>
      </c>
    </row>
    <row r="485">
      <c r="A485" s="18" t="inlineStr">
        <is>
          <t>2025-11-24</t>
        </is>
      </c>
      <c r="B485" s="19" t="n">
        <v>0.01631756596063538</v>
      </c>
      <c r="C485" s="19" t="n">
        <v>0.003982072607125131</v>
      </c>
      <c r="D485" s="19" t="n">
        <v>-6.709045818942272e-05</v>
      </c>
      <c r="E485" s="19" t="n">
        <v>0.01054453506756747</v>
      </c>
      <c r="F485" s="19" t="n">
        <v>-0.009480716580489101</v>
      </c>
      <c r="G485" s="19" t="n">
        <v>-0.0261066848517334</v>
      </c>
      <c r="H485" s="19" t="n">
        <v>0.02532963104830621</v>
      </c>
      <c r="I485" s="19" t="n">
        <v>0.008984296205538866</v>
      </c>
      <c r="J485" s="19" t="n">
        <v>0.01665973296722512</v>
      </c>
      <c r="K485" s="19" t="n">
        <v>-0.02473924108001357</v>
      </c>
      <c r="L485" s="19" t="n">
        <v>0.01471855312058268</v>
      </c>
      <c r="M485" s="20">
        <f>SUMPRODUCT($B$3:$K$3,B485:K485)</f>
        <v/>
      </c>
      <c r="N485" s="21">
        <f>N484*(1+M485)</f>
        <v/>
      </c>
      <c r="O485" s="21">
        <f>MAX(O484,N485)</f>
        <v/>
      </c>
      <c r="P485" s="20">
        <f>N485/O485-1</f>
        <v/>
      </c>
    </row>
    <row r="486">
      <c r="A486" s="18" t="inlineStr">
        <is>
          <t>2025-11-25</t>
        </is>
      </c>
      <c r="B486" s="19" t="n">
        <v>0.003805339452870538</v>
      </c>
      <c r="C486" s="19" t="n">
        <v>0.006308039042083102</v>
      </c>
      <c r="D486" s="19" t="n">
        <v>0.01677841370274336</v>
      </c>
      <c r="E486" s="19" t="n">
        <v>0.009377192407893586</v>
      </c>
      <c r="F486" s="19" t="n">
        <v>-0.01258948184164432</v>
      </c>
      <c r="G486" s="19" t="n">
        <v>0.01027364949945064</v>
      </c>
      <c r="H486" s="19" t="n">
        <v>0.0149814363087164</v>
      </c>
      <c r="I486" s="19" t="n">
        <v>0.007123271290355948</v>
      </c>
      <c r="J486" s="19" t="n">
        <v>0.01252688800958834</v>
      </c>
      <c r="K486" s="19" t="n">
        <v>0.009450375118555732</v>
      </c>
      <c r="L486" s="19" t="n">
        <v>0.009405944613086525</v>
      </c>
      <c r="M486" s="20">
        <f>SUMPRODUCT($B$3:$K$3,B486:K486)</f>
        <v/>
      </c>
      <c r="N486" s="21">
        <f>N485*(1+M486)</f>
        <v/>
      </c>
      <c r="O486" s="21">
        <f>MAX(O485,N486)</f>
        <v/>
      </c>
      <c r="P486" s="20">
        <f>N486/O486-1</f>
        <v/>
      </c>
    </row>
    <row r="487">
      <c r="A487" s="18" t="inlineStr">
        <is>
          <t>2025-11-26</t>
        </is>
      </c>
      <c r="B487" s="19" t="n">
        <v>0.002094216889939382</v>
      </c>
      <c r="C487" s="19" t="n">
        <v>0.01784106260616336</v>
      </c>
      <c r="D487" s="19" t="n">
        <v>0.01531366161747716</v>
      </c>
      <c r="E487" s="19" t="n">
        <v>0.004306402115961561</v>
      </c>
      <c r="F487" s="19" t="n">
        <v>0.002270508434720098</v>
      </c>
      <c r="G487" s="19" t="n">
        <v>-0.001616357406697522</v>
      </c>
      <c r="H487" s="19" t="n">
        <v>-0.002220553450176022</v>
      </c>
      <c r="I487" s="19" t="n">
        <v>0.00836968815343675</v>
      </c>
      <c r="J487" s="19" t="n">
        <v>0.01256590339194319</v>
      </c>
      <c r="K487" s="19" t="n">
        <v>0.007144707847728915</v>
      </c>
      <c r="L487" s="19" t="n">
        <v>0.006903542517632921</v>
      </c>
      <c r="M487" s="20">
        <f>SUMPRODUCT($B$3:$K$3,B487:K487)</f>
        <v/>
      </c>
      <c r="N487" s="21">
        <f>N486*(1+M487)</f>
        <v/>
      </c>
      <c r="O487" s="21">
        <f>MAX(O486,N487)</f>
        <v/>
      </c>
      <c r="P487" s="20">
        <f>N487/O487-1</f>
        <v/>
      </c>
    </row>
    <row r="488">
      <c r="A488" s="18" t="inlineStr">
        <is>
          <t>2025-11-28</t>
        </is>
      </c>
      <c r="B488" s="19" t="n">
        <v>0.004683756058800448</v>
      </c>
      <c r="C488" s="19" t="n">
        <v>0.01340886450717993</v>
      </c>
      <c r="D488" s="19" t="n">
        <v>0.01768289407044898</v>
      </c>
      <c r="E488" s="19" t="n">
        <v>-0.003083438999202603</v>
      </c>
      <c r="F488" s="19" t="n">
        <v>0.01002007622687073</v>
      </c>
      <c r="G488" s="19" t="n">
        <v>-0.0006069969737481085</v>
      </c>
      <c r="H488" s="19" t="n">
        <v>0.01771686809963646</v>
      </c>
      <c r="I488" s="19" t="n">
        <v>0.008767842246827806</v>
      </c>
      <c r="J488" s="19" t="n">
        <v>0.003538302569502605</v>
      </c>
      <c r="K488" s="19" t="n">
        <v>0.005626216475264734</v>
      </c>
      <c r="L488" s="19" t="n">
        <v>0.005458373086222323</v>
      </c>
      <c r="M488" s="20">
        <f>SUMPRODUCT($B$3:$K$3,B488:K488)</f>
        <v/>
      </c>
      <c r="N488" s="21">
        <f>N487*(1+M488)</f>
        <v/>
      </c>
      <c r="O488" s="21">
        <f>MAX(O487,N488)</f>
        <v/>
      </c>
      <c r="P488" s="20">
        <f>N488/O488-1</f>
        <v/>
      </c>
    </row>
    <row r="489">
      <c r="A489" s="18" t="inlineStr">
        <is>
          <t>2025-12-01</t>
        </is>
      </c>
      <c r="B489" s="19" t="n">
        <v>0.01524117335723596</v>
      </c>
      <c r="C489" s="19" t="n">
        <v>-0.01071118233353707</v>
      </c>
      <c r="D489" s="19" t="n">
        <v>-0.01328720945072981</v>
      </c>
      <c r="E489" s="19" t="n">
        <v>-0.007635744699216573</v>
      </c>
      <c r="F489" s="19" t="n">
        <v>0.006124915760673089</v>
      </c>
      <c r="G489" s="19" t="n">
        <v>-0.004859556828378464</v>
      </c>
      <c r="H489" s="19" t="n">
        <v>0.002829961661327651</v>
      </c>
      <c r="I489" s="19" t="n">
        <v>-0.01900568522665014</v>
      </c>
      <c r="J489" s="19" t="n">
        <v>-0.01337367624165475</v>
      </c>
      <c r="K489" s="19" t="n">
        <v>-0.00900023272431294</v>
      </c>
      <c r="L489" s="19" t="n">
        <v>-0.004565432601189801</v>
      </c>
      <c r="M489" s="20">
        <f>SUMPRODUCT($B$3:$K$3,B489:K489)</f>
        <v/>
      </c>
      <c r="N489" s="21">
        <f>N488*(1+M489)</f>
        <v/>
      </c>
      <c r="O489" s="21">
        <f>MAX(O488,N489)</f>
        <v/>
      </c>
      <c r="P489" s="20">
        <f>N489/O489-1</f>
        <v/>
      </c>
    </row>
    <row r="490">
      <c r="A490" s="18" t="inlineStr">
        <is>
          <t>2025-12-02</t>
        </is>
      </c>
      <c r="B490" s="19" t="n">
        <v>0.01091484254503539</v>
      </c>
      <c r="C490" s="19" t="n">
        <v>0.006697605418353403</v>
      </c>
      <c r="D490" s="19" t="n">
        <v>-0.003366609350882177</v>
      </c>
      <c r="E490" s="19" t="n">
        <v>0.0003895307954711047</v>
      </c>
      <c r="F490" s="19" t="n">
        <v>-0.01071772719244168</v>
      </c>
      <c r="G490" s="19" t="n">
        <v>-0.01071619115851807</v>
      </c>
      <c r="H490" s="19" t="n">
        <v>0.002308847592180419</v>
      </c>
      <c r="I490" s="19" t="n">
        <v>-0.0008269235019782162</v>
      </c>
      <c r="J490" s="19" t="n">
        <v>0.02536699109730045</v>
      </c>
      <c r="K490" s="19" t="n">
        <v>-0.003190963342864506</v>
      </c>
      <c r="L490" s="19" t="n">
        <v>0.001852160533517999</v>
      </c>
      <c r="M490" s="20">
        <f>SUMPRODUCT($B$3:$K$3,B490:K490)</f>
        <v/>
      </c>
      <c r="N490" s="21">
        <f>N489*(1+M490)</f>
        <v/>
      </c>
      <c r="O490" s="21">
        <f>MAX(O489,N490)</f>
        <v/>
      </c>
      <c r="P490" s="20">
        <f>N490/O490-1</f>
        <v/>
      </c>
    </row>
    <row r="491">
      <c r="A491" s="18" t="inlineStr">
        <is>
          <t>2025-12-03</t>
        </is>
      </c>
      <c r="B491" s="19" t="n">
        <v>-0.007128103890149506</v>
      </c>
      <c r="C491" s="19" t="n">
        <v>-0.02504077380157743</v>
      </c>
      <c r="D491" s="19" t="n">
        <v>0.01380406459603356</v>
      </c>
      <c r="E491" s="19" t="n">
        <v>-0.0004381364205107152</v>
      </c>
      <c r="F491" s="19" t="n">
        <v>0.02097429094960535</v>
      </c>
      <c r="G491" s="19" t="n">
        <v>0.005827538109241859</v>
      </c>
      <c r="H491" s="19" t="n">
        <v>-0.008702300580441968</v>
      </c>
      <c r="I491" s="19" t="n">
        <v>0.004374459241349271</v>
      </c>
      <c r="J491" s="19" t="n">
        <v>0.01548577028860887</v>
      </c>
      <c r="K491" s="19" t="n">
        <v>0.001477466854664877</v>
      </c>
      <c r="L491" s="19" t="n">
        <v>0.003462839022884578</v>
      </c>
      <c r="M491" s="20">
        <f>SUMPRODUCT($B$3:$K$3,B491:K491)</f>
        <v/>
      </c>
      <c r="N491" s="21">
        <f>N490*(1+M491)</f>
        <v/>
      </c>
      <c r="O491" s="21">
        <f>MAX(O490,N491)</f>
        <v/>
      </c>
      <c r="P491" s="20">
        <f>N491/O491-1</f>
        <v/>
      </c>
    </row>
    <row r="492">
      <c r="A492" s="18" t="inlineStr">
        <is>
          <t>2025-12-04</t>
        </is>
      </c>
      <c r="B492" s="19" t="n">
        <v>-0.01214150453296625</v>
      </c>
      <c r="C492" s="19" t="n">
        <v>0.006509951097902533</v>
      </c>
      <c r="D492" s="19" t="n">
        <v>0.01271920143377958</v>
      </c>
      <c r="E492" s="19" t="n">
        <v>-0.01388017496592475</v>
      </c>
      <c r="F492" s="19" t="n">
        <v>-0.005602765529346243</v>
      </c>
      <c r="G492" s="19" t="n">
        <v>-0.009201908682634707</v>
      </c>
      <c r="H492" s="19" t="n">
        <v>-0.0140717970726868</v>
      </c>
      <c r="I492" s="19" t="n">
        <v>-0.01836373812828185</v>
      </c>
      <c r="J492" s="19" t="n">
        <v>0.01295043349795622</v>
      </c>
      <c r="K492" s="19" t="n">
        <v>0.01450689196319188</v>
      </c>
      <c r="L492" s="19" t="n">
        <v>0.000731151162097321</v>
      </c>
      <c r="M492" s="20">
        <f>SUMPRODUCT($B$3:$K$3,B492:K492)</f>
        <v/>
      </c>
      <c r="N492" s="21">
        <f>N491*(1+M492)</f>
        <v/>
      </c>
      <c r="O492" s="21">
        <f>MAX(O491,N492)</f>
        <v/>
      </c>
      <c r="P492" s="20">
        <f>N492/O492-1</f>
        <v/>
      </c>
    </row>
    <row r="493">
      <c r="A493" s="18" t="inlineStr">
        <is>
          <t>2025-12-05</t>
        </is>
      </c>
      <c r="B493" s="19" t="n">
        <v>-0.006840067419534801</v>
      </c>
      <c r="C493" s="19" t="n">
        <v>0.004824921203747667</v>
      </c>
      <c r="D493" s="19" t="n">
        <v>-0.003353391867554678</v>
      </c>
      <c r="E493" s="19" t="n">
        <v>-0.002716224627710595</v>
      </c>
      <c r="F493" s="19" t="n">
        <v>-0.005122036696546872</v>
      </c>
      <c r="G493" s="19" t="n">
        <v>-0.01313986684253876</v>
      </c>
      <c r="H493" s="19" t="n">
        <v>0.001833172571369168</v>
      </c>
      <c r="I493" s="19" t="n">
        <v>-0.003117878933633245</v>
      </c>
      <c r="J493" s="19" t="n">
        <v>0.006709440034437408</v>
      </c>
      <c r="K493" s="19" t="n">
        <v>0.01042170481604754</v>
      </c>
      <c r="L493" s="19" t="n">
        <v>0.001899423835727276</v>
      </c>
      <c r="M493" s="20">
        <f>SUMPRODUCT($B$3:$K$3,B493:K493)</f>
        <v/>
      </c>
      <c r="N493" s="21">
        <f>N492*(1+M493)</f>
        <v/>
      </c>
      <c r="O493" s="21">
        <f>MAX(O492,N493)</f>
        <v/>
      </c>
      <c r="P493" s="20">
        <f>N493/O493-1</f>
        <v/>
      </c>
    </row>
    <row r="494">
      <c r="A494" s="18" t="inlineStr">
        <is>
          <t>2025-12-08</t>
        </is>
      </c>
      <c r="B494" s="19" t="n">
        <v>-0.003192442810390217</v>
      </c>
      <c r="C494" s="19" t="n">
        <v>0.01626778759906577</v>
      </c>
      <c r="D494" s="19" t="n">
        <v>0.0005394601174315561</v>
      </c>
      <c r="E494" s="19" t="n">
        <v>-0.001535219289510281</v>
      </c>
      <c r="F494" s="19" t="n">
        <v>-0.004805228862572397</v>
      </c>
      <c r="G494" s="19" t="n">
        <v>-0.03562225090722582</v>
      </c>
      <c r="H494" s="19" t="n">
        <v>-0.01150176187726515</v>
      </c>
      <c r="I494" s="19" t="n">
        <v>-0.03103566761046062</v>
      </c>
      <c r="J494" s="19" t="n">
        <v>-0.01105818965451422</v>
      </c>
      <c r="K494" s="19" t="n">
        <v>-0.009354751444742293</v>
      </c>
      <c r="L494" s="19" t="n">
        <v>-0.003004201293183129</v>
      </c>
      <c r="M494" s="20">
        <f>SUMPRODUCT($B$3:$K$3,B494:K494)</f>
        <v/>
      </c>
      <c r="N494" s="21">
        <f>N493*(1+M494)</f>
        <v/>
      </c>
      <c r="O494" s="21">
        <f>MAX(O493,N494)</f>
        <v/>
      </c>
      <c r="P494" s="20">
        <f>N494/O494-1</f>
        <v/>
      </c>
    </row>
    <row r="495">
      <c r="A495" s="18" t="inlineStr">
        <is>
          <t>2025-12-09</t>
        </is>
      </c>
      <c r="B495" s="19" t="n">
        <v>-0.002554954030758783</v>
      </c>
      <c r="C495" s="19" t="n">
        <v>0.002036550454675767</v>
      </c>
      <c r="D495" s="19" t="n">
        <v>-0.04663544047604784</v>
      </c>
      <c r="E495" s="19" t="n">
        <v>-0.008233261200244257</v>
      </c>
      <c r="F495" s="19" t="n">
        <v>0.01957233191247898</v>
      </c>
      <c r="G495" s="19" t="n">
        <v>0.009324889543114168</v>
      </c>
      <c r="H495" s="19" t="n">
        <v>0.004539639393836836</v>
      </c>
      <c r="I495" s="19" t="n">
        <v>-0.01129737524679653</v>
      </c>
      <c r="J495" s="19" t="n">
        <v>-0.00358771779557443</v>
      </c>
      <c r="K495" s="19" t="n">
        <v>-0.02808713709892163</v>
      </c>
      <c r="L495" s="19" t="n">
        <v>-0.0008630954932499213</v>
      </c>
      <c r="M495" s="20">
        <f>SUMPRODUCT($B$3:$K$3,B495:K495)</f>
        <v/>
      </c>
      <c r="N495" s="21">
        <f>N494*(1+M495)</f>
        <v/>
      </c>
      <c r="O495" s="21">
        <f>MAX(O494,N495)</f>
        <v/>
      </c>
      <c r="P495" s="20">
        <f>N495/O495-1</f>
        <v/>
      </c>
    </row>
    <row r="496">
      <c r="A496" s="18" t="inlineStr">
        <is>
          <t>2025-12-10</t>
        </is>
      </c>
      <c r="B496" s="19" t="n">
        <v>0.005772369311079162</v>
      </c>
      <c r="C496" s="19" t="n">
        <v>-0.02735656507065065</v>
      </c>
      <c r="D496" s="19" t="n">
        <v>0.03194543920112403</v>
      </c>
      <c r="E496" s="19" t="n">
        <v>0.03290653056616599</v>
      </c>
      <c r="F496" s="19" t="n">
        <v>0.01090904615591981</v>
      </c>
      <c r="G496" s="19" t="n">
        <v>0.001360882243134354</v>
      </c>
      <c r="H496" s="19" t="n">
        <v>0.01693576974974498</v>
      </c>
      <c r="I496" s="19" t="n">
        <v>0.02046708434521816</v>
      </c>
      <c r="J496" s="19" t="n">
        <v>0.03531547046001138</v>
      </c>
      <c r="K496" s="19" t="n">
        <v>-0.005480811122517304</v>
      </c>
      <c r="L496" s="19" t="n">
        <v>0.006632084722901999</v>
      </c>
      <c r="M496" s="20">
        <f>SUMPRODUCT($B$3:$K$3,B496:K496)</f>
        <v/>
      </c>
      <c r="N496" s="21">
        <f>N495*(1+M496)</f>
        <v/>
      </c>
      <c r="O496" s="21">
        <f>MAX(O495,N496)</f>
        <v/>
      </c>
      <c r="P496" s="20">
        <f>N496/O496-1</f>
        <v/>
      </c>
    </row>
    <row r="497">
      <c r="A497" s="18" t="inlineStr">
        <is>
          <t>2025-12-11</t>
        </is>
      </c>
      <c r="B497" s="19" t="n">
        <v>-0.002690262028601786</v>
      </c>
      <c r="C497" s="19" t="n">
        <v>0.01026003691939636</v>
      </c>
      <c r="D497" s="19" t="n">
        <v>0.02344340104724751</v>
      </c>
      <c r="E497" s="19" t="n">
        <v>0.01680061518431475</v>
      </c>
      <c r="F497" s="19" t="n">
        <v>0</v>
      </c>
      <c r="G497" s="19" t="n">
        <v>0.006722872447713746</v>
      </c>
      <c r="H497" s="19" t="n">
        <v>-0.006471654188885845</v>
      </c>
      <c r="I497" s="19" t="n">
        <v>-0.0007381467729317137</v>
      </c>
      <c r="J497" s="19" t="n">
        <v>0.01667325472306769</v>
      </c>
      <c r="K497" s="19" t="n">
        <v>0.007515122124623463</v>
      </c>
      <c r="L497" s="19" t="n">
        <v>0.002327071699470329</v>
      </c>
      <c r="M497" s="20">
        <f>SUMPRODUCT($B$3:$K$3,B497:K497)</f>
        <v/>
      </c>
      <c r="N497" s="21">
        <f>N496*(1+M497)</f>
        <v/>
      </c>
      <c r="O497" s="21">
        <f>MAX(O496,N497)</f>
        <v/>
      </c>
      <c r="P497" s="20">
        <f>N497/O497-1</f>
        <v/>
      </c>
    </row>
    <row r="498">
      <c r="A498" s="18" t="inlineStr">
        <is>
          <t>2025-12-12</t>
        </is>
      </c>
      <c r="B498" s="19" t="n">
        <v>0.0008990996456430533</v>
      </c>
      <c r="C498" s="19" t="n">
        <v>-0.0102178355332101</v>
      </c>
      <c r="D498" s="19" t="n">
        <v>0.003591957595922901</v>
      </c>
      <c r="E498" s="19" t="n">
        <v>0.007475851853470994</v>
      </c>
      <c r="F498" s="19" t="n">
        <v>-0.006023094344211888</v>
      </c>
      <c r="G498" s="19" t="n">
        <v>0.01477694456664946</v>
      </c>
      <c r="H498" s="19" t="n">
        <v>-0.0177609708162737</v>
      </c>
      <c r="I498" s="19" t="n">
        <v>0.005418034894870916</v>
      </c>
      <c r="J498" s="19" t="n">
        <v>-0.04430856865548927</v>
      </c>
      <c r="K498" s="19" t="n">
        <v>0.01665835900341506</v>
      </c>
      <c r="L498" s="19" t="n">
        <v>-0.01075200859953007</v>
      </c>
      <c r="M498" s="20">
        <f>SUMPRODUCT($B$3:$K$3,B498:K498)</f>
        <v/>
      </c>
      <c r="N498" s="21">
        <f>N497*(1+M498)</f>
        <v/>
      </c>
      <c r="O498" s="21">
        <f>MAX(O497,N498)</f>
        <v/>
      </c>
      <c r="P498" s="20">
        <f>N498/O498-1</f>
        <v/>
      </c>
    </row>
    <row r="499">
      <c r="A499" s="18" t="inlineStr">
        <is>
          <t>2025-12-15</t>
        </is>
      </c>
      <c r="B499" s="19" t="n">
        <v>-0.0149849487432544</v>
      </c>
      <c r="C499" s="19" t="n">
        <v>-0.007752981253103419</v>
      </c>
      <c r="D499" s="19" t="n">
        <v>0.004709201030401955</v>
      </c>
      <c r="E499" s="19" t="n">
        <v>0.01224128279779957</v>
      </c>
      <c r="F499" s="19" t="n">
        <v>-0.008920992985516074</v>
      </c>
      <c r="G499" s="19" t="n">
        <v>0.016031844192258</v>
      </c>
      <c r="H499" s="19" t="n">
        <v>-0.01613691637948922</v>
      </c>
      <c r="I499" s="19" t="n">
        <v>0</v>
      </c>
      <c r="J499" s="19" t="n">
        <v>-0.01359783129827541</v>
      </c>
      <c r="K499" s="19" t="n">
        <v>-0.002201024558119657</v>
      </c>
      <c r="L499" s="19" t="n">
        <v>-0.00151084986752914</v>
      </c>
      <c r="M499" s="20">
        <f>SUMPRODUCT($B$3:$K$3,B499:K499)</f>
        <v/>
      </c>
      <c r="N499" s="21">
        <f>N498*(1+M499)</f>
        <v/>
      </c>
      <c r="O499" s="21">
        <f>MAX(O498,N499)</f>
        <v/>
      </c>
      <c r="P499" s="20">
        <f>N499/O499-1</f>
        <v/>
      </c>
    </row>
    <row r="500">
      <c r="A500" s="18" t="inlineStr">
        <is>
          <t>2025-12-16</t>
        </is>
      </c>
      <c r="B500" s="19" t="n">
        <v>0.001824138532716013</v>
      </c>
      <c r="C500" s="19" t="n">
        <v>0.003306617406650281</v>
      </c>
      <c r="D500" s="19" t="n">
        <v>-0.01396776449517889</v>
      </c>
      <c r="E500" s="19" t="n">
        <v>-0.02273893937313232</v>
      </c>
      <c r="F500" s="19" t="n">
        <v>-0.02615492246237172</v>
      </c>
      <c r="G500" s="19" t="n">
        <v>0.0005513671002153053</v>
      </c>
      <c r="H500" s="19" t="n">
        <v>8.989068511011666e-05</v>
      </c>
      <c r="I500" s="19" t="n">
        <v>-0.004041723966035859</v>
      </c>
      <c r="J500" s="19" t="n">
        <v>-0.001407339217793901</v>
      </c>
      <c r="K500" s="19" t="n">
        <v>-0.001225586948230606</v>
      </c>
      <c r="L500" s="19" t="n">
        <v>-0.002732363256316539</v>
      </c>
      <c r="M500" s="20">
        <f>SUMPRODUCT($B$3:$K$3,B500:K500)</f>
        <v/>
      </c>
      <c r="N500" s="21">
        <f>N499*(1+M500)</f>
        <v/>
      </c>
      <c r="O500" s="21">
        <f>MAX(O499,N500)</f>
        <v/>
      </c>
      <c r="P500" s="20">
        <f>N500/O500-1</f>
        <v/>
      </c>
    </row>
    <row r="501">
      <c r="A501" s="18" t="inlineStr">
        <is>
          <t>2025-12-17</t>
        </is>
      </c>
      <c r="B501" s="19" t="n">
        <v>-0.01008703706365721</v>
      </c>
      <c r="C501" s="19" t="n">
        <v>-0.0005668537354907022</v>
      </c>
      <c r="D501" s="19" t="n">
        <v>-0.00180634519947287</v>
      </c>
      <c r="E501" s="19" t="n">
        <v>0.004921199983436653</v>
      </c>
      <c r="F501" s="19" t="n">
        <v>0.02380547307839342</v>
      </c>
      <c r="G501" s="19" t="n">
        <v>0.01790504438798468</v>
      </c>
      <c r="H501" s="19" t="n">
        <v>-0.005796159688549629</v>
      </c>
      <c r="I501" s="19" t="n">
        <v>-0.01266607676799436</v>
      </c>
      <c r="J501" s="19" t="n">
        <v>-0.04591382465611793</v>
      </c>
      <c r="K501" s="19" t="n">
        <v>0.003190278915657041</v>
      </c>
      <c r="L501" s="19" t="n">
        <v>-0.01100356428531768</v>
      </c>
      <c r="M501" s="20">
        <f>SUMPRODUCT($B$3:$K$3,B501:K501)</f>
        <v/>
      </c>
      <c r="N501" s="21">
        <f>N500*(1+M501)</f>
        <v/>
      </c>
      <c r="O501" s="21">
        <f>MAX(O500,N501)</f>
        <v/>
      </c>
      <c r="P501" s="20">
        <f>N501/O501-1</f>
        <v/>
      </c>
    </row>
    <row r="502">
      <c r="A502" s="18" t="inlineStr">
        <is>
          <t>2025-12-18</t>
        </is>
      </c>
      <c r="B502" s="19" t="n">
        <v>0.001287672207443302</v>
      </c>
      <c r="C502" s="19" t="n">
        <v>0.01650852133550962</v>
      </c>
      <c r="D502" s="19" t="n">
        <v>-0.006286187857898917</v>
      </c>
      <c r="E502" s="19" t="n">
        <v>-0.009604019228383498</v>
      </c>
      <c r="F502" s="19" t="n">
        <v>-0.007409992496613005</v>
      </c>
      <c r="G502" s="19" t="n">
        <v>-0.01549289100976481</v>
      </c>
      <c r="H502" s="19" t="n">
        <v>0.02481127187766008</v>
      </c>
      <c r="I502" s="19" t="n">
        <v>0.006974722323849658</v>
      </c>
      <c r="J502" s="19" t="n">
        <v>0.007012062176437572</v>
      </c>
      <c r="K502" s="19" t="n">
        <v>-0.01149705105814969</v>
      </c>
      <c r="L502" s="19" t="n">
        <v>0.007551268712199022</v>
      </c>
      <c r="M502" s="20">
        <f>SUMPRODUCT($B$3:$K$3,B502:K502)</f>
        <v/>
      </c>
      <c r="N502" s="21">
        <f>N501*(1+M502)</f>
        <v/>
      </c>
      <c r="O502" s="21">
        <f>MAX(O501,N502)</f>
        <v/>
      </c>
      <c r="P502" s="20">
        <f>N502/O502-1</f>
        <v/>
      </c>
    </row>
    <row r="503">
      <c r="A503" s="18" t="inlineStr">
        <is>
          <t>2025-12-19</t>
        </is>
      </c>
      <c r="B503" s="19" t="n">
        <v>0.005437378743868182</v>
      </c>
      <c r="C503" s="19" t="n">
        <v>0.004008419527562479</v>
      </c>
      <c r="D503" s="19" t="n">
        <v>0.01345040232743044</v>
      </c>
      <c r="E503" s="19" t="n">
        <v>-0.009313099378007839</v>
      </c>
      <c r="F503" s="19" t="n">
        <v>0.0012871017565661</v>
      </c>
      <c r="G503" s="19" t="n">
        <v>-0.007284051310575079</v>
      </c>
      <c r="H503" s="19" t="n">
        <v>0.002601921022104436</v>
      </c>
      <c r="I503" s="19" t="n">
        <v>-0.01620277004431925</v>
      </c>
      <c r="J503" s="19" t="n">
        <v>0.01836242576851888</v>
      </c>
      <c r="K503" s="19" t="n">
        <v>-0.01460042822238539</v>
      </c>
      <c r="L503" s="19" t="n">
        <v>0.009063486264369258</v>
      </c>
      <c r="M503" s="20">
        <f>SUMPRODUCT($B$3:$K$3,B503:K503)</f>
        <v/>
      </c>
      <c r="N503" s="21">
        <f>N502*(1+M503)</f>
        <v/>
      </c>
      <c r="O503" s="21">
        <f>MAX(O502,N503)</f>
        <v/>
      </c>
      <c r="P503" s="20">
        <f>N503/O503-1</f>
        <v/>
      </c>
    </row>
    <row r="504">
      <c r="A504" s="18" t="inlineStr">
        <is>
          <t>2025-12-22</t>
        </is>
      </c>
      <c r="B504" s="19" t="n">
        <v>-0.009865959632689436</v>
      </c>
      <c r="C504" s="19" t="n">
        <v>-0.002057988220131479</v>
      </c>
      <c r="D504" s="19" t="n">
        <v>0.01853669950171755</v>
      </c>
      <c r="E504" s="19" t="n">
        <v>0.004603483952717147</v>
      </c>
      <c r="F504" s="19" t="n">
        <v>0.01251173552519624</v>
      </c>
      <c r="G504" s="19" t="n">
        <v>-0.01225273844250119</v>
      </c>
      <c r="H504" s="19" t="n">
        <v>0.00475032567966549</v>
      </c>
      <c r="I504" s="19" t="n">
        <v>0.00628618843922335</v>
      </c>
      <c r="J504" s="19" t="n">
        <v>0.01074232102552508</v>
      </c>
      <c r="K504" s="19" t="n">
        <v>0.004018177532072231</v>
      </c>
      <c r="L504" s="19" t="n">
        <v>0.006229818660208997</v>
      </c>
      <c r="M504" s="20">
        <f>SUMPRODUCT($B$3:$K$3,B504:K504)</f>
        <v/>
      </c>
      <c r="N504" s="21">
        <f>N503*(1+M504)</f>
        <v/>
      </c>
      <c r="O504" s="21">
        <f>MAX(O503,N504)</f>
        <v/>
      </c>
      <c r="P504" s="20">
        <f>N504/O504-1</f>
        <v/>
      </c>
    </row>
    <row r="505">
      <c r="A505" s="18" t="inlineStr">
        <is>
          <t>2025-12-23</t>
        </is>
      </c>
      <c r="B505" s="19" t="n">
        <v>0.005129732868573544</v>
      </c>
      <c r="C505" s="19" t="n">
        <v>0.003980003148890798</v>
      </c>
      <c r="D505" s="19" t="n">
        <v>0.008790105130071169</v>
      </c>
      <c r="E505" s="19" t="n">
        <v>-0.007428144176952034</v>
      </c>
      <c r="F505" s="19" t="n">
        <v>0.01074906182508784</v>
      </c>
      <c r="G505" s="19" t="n">
        <v>0.003434079748833696</v>
      </c>
      <c r="H505" s="19" t="n">
        <v>0.0162413292160497</v>
      </c>
      <c r="I505" s="19" t="n">
        <v>-0.003123410864401155</v>
      </c>
      <c r="J505" s="19" t="n">
        <v>1.718639339531869e-05</v>
      </c>
      <c r="K505" s="19" t="n">
        <v>-0.00150084878074197</v>
      </c>
      <c r="L505" s="19" t="n">
        <v>0.00457043448768446</v>
      </c>
      <c r="M505" s="20">
        <f>SUMPRODUCT($B$3:$K$3,B505:K505)</f>
        <v/>
      </c>
      <c r="N505" s="21">
        <f>N504*(1+M505)</f>
        <v/>
      </c>
      <c r="O505" s="21">
        <f>MAX(O504,N505)</f>
        <v/>
      </c>
      <c r="P505" s="20">
        <f>N505/O505-1</f>
        <v/>
      </c>
    </row>
    <row r="506">
      <c r="A506" s="18" t="inlineStr">
        <is>
          <t>2025-12-24</t>
        </is>
      </c>
      <c r="B506" s="19" t="n">
        <v>0.005323766193815027</v>
      </c>
      <c r="C506" s="19" t="n">
        <v>0.002403149680407557</v>
      </c>
      <c r="D506" s="19" t="n">
        <v>0.009940799812659273</v>
      </c>
      <c r="E506" s="19" t="n">
        <v>0.00971902995347218</v>
      </c>
      <c r="F506" s="19" t="n">
        <v>-0.001674770176096296</v>
      </c>
      <c r="G506" s="19" t="n">
        <v>0.009149338053023204</v>
      </c>
      <c r="H506" s="19" t="n">
        <v>0.001033882544133169</v>
      </c>
      <c r="I506" s="19" t="n">
        <v>0.008271589607063534</v>
      </c>
      <c r="J506" s="19" t="n">
        <v>0.002300828412099332</v>
      </c>
      <c r="K506" s="19" t="n">
        <v>0.0100200290183412</v>
      </c>
      <c r="L506" s="19" t="n">
        <v>0.003517736660175297</v>
      </c>
      <c r="M506" s="20">
        <f>SUMPRODUCT($B$3:$K$3,B506:K506)</f>
        <v/>
      </c>
      <c r="N506" s="21">
        <f>N505*(1+M506)</f>
        <v/>
      </c>
      <c r="O506" s="21">
        <f>MAX(O505,N506)</f>
        <v/>
      </c>
      <c r="P506" s="20">
        <f>N506/O506-1</f>
        <v/>
      </c>
    </row>
    <row r="507">
      <c r="A507" s="18" t="inlineStr">
        <is>
          <t>2025-12-26</t>
        </is>
      </c>
      <c r="B507" s="19" t="n">
        <v>-0.001497231178439473</v>
      </c>
      <c r="C507" s="19" t="n">
        <v>-0.0006351543756145661</v>
      </c>
      <c r="D507" s="19" t="n">
        <v>-0.003827752365888282</v>
      </c>
      <c r="E507" s="19" t="n">
        <v>-0.0007219333576791165</v>
      </c>
      <c r="F507" s="19" t="n">
        <v>-0.0009226394800265769</v>
      </c>
      <c r="G507" s="19" t="n">
        <v>0.001730303093440355</v>
      </c>
      <c r="H507" s="19" t="n">
        <v>0.000602458846315157</v>
      </c>
      <c r="I507" s="19" t="n">
        <v>-0.0004970167367406297</v>
      </c>
      <c r="J507" s="19" t="n">
        <v>-0.001301988001134458</v>
      </c>
      <c r="K507" s="19" t="n">
        <v>0.003968348996108206</v>
      </c>
      <c r="L507" s="19" t="n">
        <v>-0.0001013941879033364</v>
      </c>
      <c r="M507" s="20">
        <f>SUMPRODUCT($B$3:$K$3,B507:K507)</f>
        <v/>
      </c>
      <c r="N507" s="21">
        <f>N506*(1+M507)</f>
        <v/>
      </c>
      <c r="O507" s="21">
        <f>MAX(O506,N507)</f>
        <v/>
      </c>
      <c r="P507" s="20">
        <f>N507/O507-1</f>
        <v/>
      </c>
    </row>
    <row r="508">
      <c r="A508" s="18" t="inlineStr">
        <is>
          <t>2025-12-29</t>
        </is>
      </c>
      <c r="B508" s="19" t="n">
        <v>0.001316700641885937</v>
      </c>
      <c r="C508" s="19" t="n">
        <v>-0.001250713767019906</v>
      </c>
      <c r="D508" s="19" t="n">
        <v>-0.01268647150780111</v>
      </c>
      <c r="E508" s="19" t="n">
        <v>-0.0003370709579167963</v>
      </c>
      <c r="F508" s="19" t="n">
        <v>0.01192175686324926</v>
      </c>
      <c r="G508" s="19" t="n">
        <v>-0.001174461655680581</v>
      </c>
      <c r="H508" s="19" t="n">
        <v>-0.001935304231780677</v>
      </c>
      <c r="I508" s="19" t="n">
        <v>-0.001741247685405845</v>
      </c>
      <c r="J508" s="19" t="n">
        <v>-0.007529923303020714</v>
      </c>
      <c r="K508" s="19" t="n">
        <v>0</v>
      </c>
      <c r="L508" s="19" t="n">
        <v>-0.003563680982251127</v>
      </c>
      <c r="M508" s="20">
        <f>SUMPRODUCT($B$3:$K$3,B508:K508)</f>
        <v/>
      </c>
      <c r="N508" s="21">
        <f>N507*(1+M508)</f>
        <v/>
      </c>
      <c r="O508" s="21">
        <f>MAX(O507,N508)</f>
        <v/>
      </c>
      <c r="P508" s="20">
        <f>N508/O508-1</f>
        <v/>
      </c>
    </row>
    <row r="509">
      <c r="A509" s="18" t="inlineStr">
        <is>
          <t>2025-12-30</t>
        </is>
      </c>
      <c r="B509" s="19" t="n">
        <v>-0.002484066728987266</v>
      </c>
      <c r="C509" s="19" t="n">
        <v>0.0007801688074968727</v>
      </c>
      <c r="D509" s="19" t="n">
        <v>-0.00101920563527691</v>
      </c>
      <c r="E509" s="19" t="n">
        <v>-0.003131693598235619</v>
      </c>
      <c r="F509" s="19" t="n">
        <v>0.003816516642764389</v>
      </c>
      <c r="G509" s="19" t="n">
        <v>-0.003597012466327265</v>
      </c>
      <c r="H509" s="19" t="n">
        <v>0.001982123671998126</v>
      </c>
      <c r="I509" s="19" t="n">
        <v>0.003239067164972687</v>
      </c>
      <c r="J509" s="19" t="n">
        <v>-0.002108599675644141</v>
      </c>
      <c r="K509" s="19" t="n">
        <v>0.005434776153969478</v>
      </c>
      <c r="L509" s="19" t="n">
        <v>-0.001221205623984534</v>
      </c>
      <c r="M509" s="20">
        <f>SUMPRODUCT($B$3:$K$3,B509:K509)</f>
        <v/>
      </c>
      <c r="N509" s="21">
        <f>N508*(1+M509)</f>
        <v/>
      </c>
      <c r="O509" s="21">
        <f>MAX(O508,N509)</f>
        <v/>
      </c>
      <c r="P509" s="20">
        <f>N509/O509-1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4" customWidth="1" min="3" max="3"/>
    <col width="14" customWidth="1" min="4" max="4"/>
    <col width="16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Portfolio risk</t>
        </is>
      </c>
    </row>
    <row r="2">
      <c r="A2" s="2" t="inlineStr">
        <is>
          <t>Data source: yfinance+fred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2" t="inlineStr">
        <is>
          <t>Observations</t>
        </is>
      </c>
      <c r="B5" s="22">
        <f>COUNT(Returns!$M$6:$M$509)</f>
        <v/>
      </c>
      <c r="C5" s="9" t="inlineStr">
        <is>
          <t>Trading days in the sample</t>
        </is>
      </c>
    </row>
    <row r="6">
      <c r="A6" s="2" t="inlineStr">
        <is>
          <t>Mean daily return</t>
        </is>
      </c>
      <c r="B6" s="23">
        <f>AVERAGE(Returns!$M$6:$M$509)</f>
        <v/>
      </c>
      <c r="C6" s="9" t="inlineStr"/>
    </row>
    <row r="7">
      <c r="A7" s="2" t="inlineStr">
        <is>
          <t>Annualised return</t>
        </is>
      </c>
      <c r="B7" s="24">
        <f>B6*Inputs!$B$6</f>
        <v/>
      </c>
      <c r="C7" s="9" t="inlineStr">
        <is>
          <t>Arithmetic: mean daily x days per year</t>
        </is>
      </c>
    </row>
    <row r="8">
      <c r="A8" s="2" t="inlineStr">
        <is>
          <t>Annualised volatility</t>
        </is>
      </c>
      <c r="B8" s="24">
        <f>STDEV(Returns!$M$6:$M$509)*SQRT(Inputs!$B$6)</f>
        <v/>
      </c>
      <c r="C8" s="9" t="inlineStr">
        <is>
          <t>Sample st. dev. x sqrt(days)</t>
        </is>
      </c>
    </row>
    <row r="9">
      <c r="A9" s="2" t="inlineStr">
        <is>
          <t>Sharpe ratio</t>
        </is>
      </c>
      <c r="B9" s="25">
        <f>(B7-Inputs!$B$5)/B8</f>
        <v/>
      </c>
      <c r="C9" s="9" t="inlineStr">
        <is>
          <t>Uses the risk-free rate on Inputs</t>
        </is>
      </c>
    </row>
    <row r="10">
      <c r="A10" s="2" t="inlineStr">
        <is>
          <t>Best day</t>
        </is>
      </c>
      <c r="B10" s="24">
        <f>MAX(Returns!$M$6:$M$509)</f>
        <v/>
      </c>
      <c r="C10" s="9" t="inlineStr"/>
    </row>
    <row r="11">
      <c r="A11" s="2" t="inlineStr">
        <is>
          <t>Worst day</t>
        </is>
      </c>
      <c r="B11" s="24">
        <f>MIN(Returns!$M$6:$M$509)</f>
        <v/>
      </c>
      <c r="C11" s="9" t="inlineStr"/>
    </row>
    <row r="12">
      <c r="A12" s="2" t="inlineStr">
        <is>
          <t>Maximum drawdown</t>
        </is>
      </c>
      <c r="B12" s="24">
        <f>MIN(Returns!$P$6:$P$509)</f>
        <v/>
      </c>
      <c r="C12" s="9" t="inlineStr">
        <is>
          <t>Peak to trough, from Returns tab</t>
        </is>
      </c>
    </row>
    <row r="13">
      <c r="A13" s="2" t="inlineStr">
        <is>
          <t>Beta vs SPY</t>
        </is>
      </c>
      <c r="B13" s="25">
        <f>SLOPE(Returns!$M$6:$M$509,Returns!$L$6:$L$509)</f>
        <v/>
      </c>
      <c r="C13" s="9" t="inlineStr">
        <is>
          <t>Regression slope on daily returns</t>
        </is>
      </c>
    </row>
    <row r="14">
      <c r="A14" s="2" t="inlineStr">
        <is>
          <t>1-day historical VaR</t>
        </is>
      </c>
      <c r="B14" s="24">
        <f>-PERCENTILE(Returns!$M$6:$M$509,1-Inputs!$B$4)</f>
        <v/>
      </c>
      <c r="C14" s="9" t="inlineStr">
        <is>
          <t>Loss not exceeded at the confidence level</t>
        </is>
      </c>
    </row>
    <row r="15">
      <c r="A15" s="2" t="inlineStr">
        <is>
          <t>1-day parametric VaR</t>
        </is>
      </c>
      <c r="B15" s="24">
        <f>-(B6+NORMSINV(1-Inputs!$B$4)*STDEV(Returns!$M$6:$M$509))</f>
        <v/>
      </c>
      <c r="C15" s="9" t="inlineStr">
        <is>
          <t>Assumes normal returns</t>
        </is>
      </c>
    </row>
    <row r="16">
      <c r="A16" s="2" t="inlineStr">
        <is>
          <t>1-day CVaR (expected shortfall)</t>
        </is>
      </c>
      <c r="B16" s="24">
        <f>-AVERAGEIF(Returns!$M$6:$M$509,"&lt;="&amp;-B14)</f>
        <v/>
      </c>
      <c r="C16" s="9" t="inlineStr">
        <is>
          <t>Average loss on days beyond the historical VaR</t>
        </is>
      </c>
    </row>
    <row r="17">
      <c r="A17" s="2" t="inlineStr">
        <is>
          <t>1-day historical VaR ($)</t>
        </is>
      </c>
      <c r="B17" s="26">
        <f>B14*Inputs!$B$3</f>
        <v/>
      </c>
      <c r="C17" s="9" t="inlineStr"/>
    </row>
    <row r="18">
      <c r="A18" s="2" t="inlineStr">
        <is>
          <t>1-day CVaR ($)</t>
        </is>
      </c>
      <c r="B18" s="26">
        <f>B16*Inputs!$B$3</f>
        <v/>
      </c>
      <c r="C18" s="9" t="inlineStr"/>
    </row>
    <row r="19">
      <c r="A19" s="2" t="inlineStr">
        <is>
          <t>Horizon parametric VaR ($)</t>
        </is>
      </c>
      <c r="B19" s="26">
        <f>B15*SQRT(Inputs!$B$7)*Inputs!$B$3</f>
        <v/>
      </c>
      <c r="C19" s="9" t="inlineStr">
        <is>
          <t>Square-root-of-time, assumes i.i.d. returns</t>
        </is>
      </c>
    </row>
    <row r="20">
      <c r="A20" s="2" t="inlineStr">
        <is>
          <t>Days worse than hist. VaR</t>
        </is>
      </c>
      <c r="B20" s="22">
        <f>COUNTIF(Returns!$M$6:$M$509,"&lt;"&amp;-B14)</f>
        <v/>
      </c>
      <c r="C20" s="9" t="inlineStr">
        <is>
          <t>Should be roughly (1 - confidence) x observations</t>
        </is>
      </c>
    </row>
    <row r="23">
      <c r="A23" s="14" t="inlineStr">
        <is>
          <t>Per-stock statistics</t>
        </is>
      </c>
    </row>
    <row r="24" ht="32" customHeight="1">
      <c r="A24" s="3" t="inlineStr">
        <is>
          <t>Ticker</t>
        </is>
      </c>
      <c r="B24" s="3" t="inlineStr">
        <is>
          <t>Sector</t>
        </is>
      </c>
      <c r="C24" s="3" t="inlineStr">
        <is>
          <t>Weight</t>
        </is>
      </c>
      <c r="D24" s="3" t="inlineStr">
        <is>
          <t>Ann. return</t>
        </is>
      </c>
      <c r="E24" s="3" t="inlineStr">
        <is>
          <t>Ann. volatility</t>
        </is>
      </c>
      <c r="F24" s="3" t="inlineStr">
        <is>
          <t>Beta (Excel, sample)</t>
        </is>
      </c>
      <c r="G24" s="3" t="inlineStr">
        <is>
          <t>Beta (SQL, full history)</t>
        </is>
      </c>
      <c r="H24" s="3" t="inlineStr">
        <is>
          <t>Correlation to SPY</t>
        </is>
      </c>
    </row>
    <row r="25">
      <c r="A25" s="7">
        <f>Inputs!A10</f>
        <v/>
      </c>
      <c r="B25" s="7">
        <f>Inputs!C10</f>
        <v/>
      </c>
      <c r="C25" s="27">
        <f>Inputs!D10</f>
        <v/>
      </c>
      <c r="D25" s="28">
        <f>AVERAGE(Returns!$B$6:$B$509)*Inputs!$B$6</f>
        <v/>
      </c>
      <c r="E25" s="28">
        <f>STDEV(Returns!$B$6:$B$509)*SQRT(Inputs!$B$6)</f>
        <v/>
      </c>
      <c r="F25" s="25">
        <f>SLOPE(Returns!$B$6:$B$509,Returns!$L$6:$L$509)</f>
        <v/>
      </c>
      <c r="G25" s="29" t="n">
        <v>1.212</v>
      </c>
      <c r="H25" s="25">
        <f>CORREL(Returns!$B$6:$B$509,Returns!$L$6:$L$509)</f>
        <v/>
      </c>
    </row>
    <row r="26">
      <c r="A26" s="7">
        <f>Inputs!A11</f>
        <v/>
      </c>
      <c r="B26" s="7">
        <f>Inputs!C11</f>
        <v/>
      </c>
      <c r="C26" s="27">
        <f>Inputs!D11</f>
        <v/>
      </c>
      <c r="D26" s="28">
        <f>AVERAGE(Returns!$C$6:$C$509)*Inputs!$B$6</f>
        <v/>
      </c>
      <c r="E26" s="28">
        <f>STDEV(Returns!$C$6:$C$509)*SQRT(Inputs!$B$6)</f>
        <v/>
      </c>
      <c r="F26" s="25">
        <f>SLOPE(Returns!$C$6:$C$509,Returns!$L$6:$L$509)</f>
        <v/>
      </c>
      <c r="G26" s="29" t="n">
        <v>1.188</v>
      </c>
      <c r="H26" s="25">
        <f>CORREL(Returns!$C$6:$C$509,Returns!$L$6:$L$509)</f>
        <v/>
      </c>
    </row>
    <row r="27">
      <c r="A27" s="7">
        <f>Inputs!A12</f>
        <v/>
      </c>
      <c r="B27" s="7">
        <f>Inputs!C12</f>
        <v/>
      </c>
      <c r="C27" s="27">
        <f>Inputs!D12</f>
        <v/>
      </c>
      <c r="D27" s="28">
        <f>AVERAGE(Returns!$D$6:$D$509)*Inputs!$B$6</f>
        <v/>
      </c>
      <c r="E27" s="28">
        <f>STDEV(Returns!$D$6:$D$509)*SQRT(Inputs!$B$6)</f>
        <v/>
      </c>
      <c r="F27" s="25">
        <f>SLOPE(Returns!$D$6:$D$509,Returns!$L$6:$L$509)</f>
        <v/>
      </c>
      <c r="G27" s="29" t="n">
        <v>1.1</v>
      </c>
      <c r="H27" s="25">
        <f>CORREL(Returns!$D$6:$D$509,Returns!$L$6:$L$509)</f>
        <v/>
      </c>
    </row>
    <row r="28">
      <c r="A28" s="7">
        <f>Inputs!A13</f>
        <v/>
      </c>
      <c r="B28" s="7">
        <f>Inputs!C13</f>
        <v/>
      </c>
      <c r="C28" s="27">
        <f>Inputs!D13</f>
        <v/>
      </c>
      <c r="D28" s="28">
        <f>AVERAGE(Returns!$E$6:$E$509)*Inputs!$B$6</f>
        <v/>
      </c>
      <c r="E28" s="28">
        <f>STDEV(Returns!$E$6:$E$509)*SQRT(Inputs!$B$6)</f>
        <v/>
      </c>
      <c r="F28" s="25">
        <f>SLOPE(Returns!$E$6:$E$509,Returns!$L$6:$L$509)</f>
        <v/>
      </c>
      <c r="G28" s="29" t="n">
        <v>0.491</v>
      </c>
      <c r="H28" s="25">
        <f>CORREL(Returns!$E$6:$E$509,Returns!$L$6:$L$509)</f>
        <v/>
      </c>
    </row>
    <row r="29">
      <c r="A29" s="7">
        <f>Inputs!A14</f>
        <v/>
      </c>
      <c r="B29" s="7">
        <f>Inputs!C14</f>
        <v/>
      </c>
      <c r="C29" s="27">
        <f>Inputs!D14</f>
        <v/>
      </c>
      <c r="D29" s="28">
        <f>AVERAGE(Returns!$F$6:$F$509)*Inputs!$B$6</f>
        <v/>
      </c>
      <c r="E29" s="28">
        <f>STDEV(Returns!$F$6:$F$509)*SQRT(Inputs!$B$6)</f>
        <v/>
      </c>
      <c r="F29" s="25">
        <f>SLOPE(Returns!$F$6:$F$509,Returns!$L$6:$L$509)</f>
        <v/>
      </c>
      <c r="G29" s="29" t="n">
        <v>0.829</v>
      </c>
      <c r="H29" s="25">
        <f>CORREL(Returns!$F$6:$F$509,Returns!$L$6:$L$509)</f>
        <v/>
      </c>
    </row>
    <row r="30">
      <c r="A30" s="7">
        <f>Inputs!A15</f>
        <v/>
      </c>
      <c r="B30" s="7">
        <f>Inputs!C15</f>
        <v/>
      </c>
      <c r="C30" s="27">
        <f>Inputs!D15</f>
        <v/>
      </c>
      <c r="D30" s="28">
        <f>AVERAGE(Returns!$G$6:$G$509)*Inputs!$B$6</f>
        <v/>
      </c>
      <c r="E30" s="28">
        <f>STDEV(Returns!$G$6:$G$509)*SQRT(Inputs!$B$6)</f>
        <v/>
      </c>
      <c r="F30" s="25">
        <f>SLOPE(Returns!$G$6:$G$509,Returns!$L$6:$L$509)</f>
        <v/>
      </c>
      <c r="G30" s="29" t="n">
        <v>0.511</v>
      </c>
      <c r="H30" s="25">
        <f>CORREL(Returns!$G$6:$G$509,Returns!$L$6:$L$509)</f>
        <v/>
      </c>
    </row>
    <row r="31">
      <c r="A31" s="7">
        <f>Inputs!A16</f>
        <v/>
      </c>
      <c r="B31" s="7">
        <f>Inputs!C16</f>
        <v/>
      </c>
      <c r="C31" s="27">
        <f>Inputs!D16</f>
        <v/>
      </c>
      <c r="D31" s="28">
        <f>AVERAGE(Returns!$H$6:$H$509)*Inputs!$B$6</f>
        <v/>
      </c>
      <c r="E31" s="28">
        <f>STDEV(Returns!$H$6:$H$509)*SQRT(Inputs!$B$6)</f>
        <v/>
      </c>
      <c r="F31" s="25">
        <f>SLOPE(Returns!$H$6:$H$509,Returns!$L$6:$L$509)</f>
        <v/>
      </c>
      <c r="G31" s="29" t="n">
        <v>1.184</v>
      </c>
      <c r="H31" s="25">
        <f>CORREL(Returns!$H$6:$H$509,Returns!$L$6:$L$509)</f>
        <v/>
      </c>
    </row>
    <row r="32">
      <c r="A32" s="7">
        <f>Inputs!A17</f>
        <v/>
      </c>
      <c r="B32" s="7">
        <f>Inputs!C17</f>
        <v/>
      </c>
      <c r="C32" s="27">
        <f>Inputs!D17</f>
        <v/>
      </c>
      <c r="D32" s="28">
        <f>AVERAGE(Returns!$I$6:$I$509)*Inputs!$B$6</f>
        <v/>
      </c>
      <c r="E32" s="28">
        <f>STDEV(Returns!$I$6:$I$509)*SQRT(Inputs!$B$6)</f>
        <v/>
      </c>
      <c r="F32" s="25">
        <f>SLOPE(Returns!$I$6:$I$509,Returns!$L$6:$L$509)</f>
        <v/>
      </c>
      <c r="G32" s="29" t="n">
        <v>0.64</v>
      </c>
      <c r="H32" s="25">
        <f>CORREL(Returns!$I$6:$I$509,Returns!$L$6:$L$509)</f>
        <v/>
      </c>
    </row>
    <row r="33">
      <c r="A33" s="7">
        <f>Inputs!A18</f>
        <v/>
      </c>
      <c r="B33" s="7">
        <f>Inputs!C18</f>
        <v/>
      </c>
      <c r="C33" s="27">
        <f>Inputs!D18</f>
        <v/>
      </c>
      <c r="D33" s="28">
        <f>AVERAGE(Returns!$J$6:$J$509)*Inputs!$B$6</f>
        <v/>
      </c>
      <c r="E33" s="28">
        <f>STDEV(Returns!$J$6:$J$509)*SQRT(Inputs!$B$6)</f>
        <v/>
      </c>
      <c r="F33" s="25">
        <f>SLOPE(Returns!$J$6:$J$509,Returns!$L$6:$L$509)</f>
        <v/>
      </c>
      <c r="G33" s="29" t="n">
        <v>1.081</v>
      </c>
      <c r="H33" s="25">
        <f>CORREL(Returns!$J$6:$J$509,Returns!$L$6:$L$509)</f>
        <v/>
      </c>
    </row>
    <row r="34">
      <c r="A34" s="7">
        <f>Inputs!A19</f>
        <v/>
      </c>
      <c r="B34" s="7">
        <f>Inputs!C19</f>
        <v/>
      </c>
      <c r="C34" s="27">
        <f>Inputs!D19</f>
        <v/>
      </c>
      <c r="D34" s="28">
        <f>AVERAGE(Returns!$K$6:$K$509)*Inputs!$B$6</f>
        <v/>
      </c>
      <c r="E34" s="28">
        <f>STDEV(Returns!$K$6:$K$509)*SQRT(Inputs!$B$6)</f>
        <v/>
      </c>
      <c r="F34" s="25">
        <f>SLOPE(Returns!$K$6:$K$509,Returns!$L$6:$L$509)</f>
        <v/>
      </c>
      <c r="G34" s="29" t="n">
        <v>0.421</v>
      </c>
      <c r="H34" s="25">
        <f>CORREL(Returns!$K$6:$K$509,Returns!$L$6:$L$509)</f>
        <v/>
      </c>
    </row>
    <row r="35">
      <c r="A35" s="14" t="inlineStr">
        <is>
          <t>Weighted beta check (should equal B13)</t>
        </is>
      </c>
      <c r="F35" s="25">
        <f>SUMPRODUCT(C25:C34,F25:F34)</f>
        <v/>
      </c>
    </row>
    <row r="38">
      <c r="A38" s="14" t="inlineStr">
        <is>
          <t>Correlation matrix (daily returns)</t>
        </is>
      </c>
    </row>
    <row r="39">
      <c r="A39" s="3" t="n"/>
      <c r="B39" s="3">
        <f>Inputs!A10</f>
        <v/>
      </c>
      <c r="C39" s="3">
        <f>Inputs!A11</f>
        <v/>
      </c>
      <c r="D39" s="3">
        <f>Inputs!A12</f>
        <v/>
      </c>
      <c r="E39" s="3">
        <f>Inputs!A13</f>
        <v/>
      </c>
      <c r="F39" s="3">
        <f>Inputs!A14</f>
        <v/>
      </c>
      <c r="G39" s="3">
        <f>Inputs!A15</f>
        <v/>
      </c>
      <c r="H39" s="3">
        <f>Inputs!A16</f>
        <v/>
      </c>
      <c r="I39" s="3">
        <f>Inputs!A17</f>
        <v/>
      </c>
      <c r="J39" s="3">
        <f>Inputs!A18</f>
        <v/>
      </c>
      <c r="K39" s="3">
        <f>Inputs!A19</f>
        <v/>
      </c>
    </row>
    <row r="40">
      <c r="A40" s="14">
        <f>Inputs!A10</f>
        <v/>
      </c>
      <c r="B40" s="25">
        <f>CORREL(Returns!$B$6:$B$509,Returns!$B$6:$B$509)</f>
        <v/>
      </c>
      <c r="C40" s="25">
        <f>CORREL(Returns!$B$6:$B$509,Returns!$C$6:$C$509)</f>
        <v/>
      </c>
      <c r="D40" s="25">
        <f>CORREL(Returns!$B$6:$B$509,Returns!$D$6:$D$509)</f>
        <v/>
      </c>
      <c r="E40" s="25">
        <f>CORREL(Returns!$B$6:$B$509,Returns!$E$6:$E$509)</f>
        <v/>
      </c>
      <c r="F40" s="25">
        <f>CORREL(Returns!$B$6:$B$509,Returns!$F$6:$F$509)</f>
        <v/>
      </c>
      <c r="G40" s="25">
        <f>CORREL(Returns!$B$6:$B$509,Returns!$G$6:$G$509)</f>
        <v/>
      </c>
      <c r="H40" s="25">
        <f>CORREL(Returns!$B$6:$B$509,Returns!$H$6:$H$509)</f>
        <v/>
      </c>
      <c r="I40" s="25">
        <f>CORREL(Returns!$B$6:$B$509,Returns!$I$6:$I$509)</f>
        <v/>
      </c>
      <c r="J40" s="25">
        <f>CORREL(Returns!$B$6:$B$509,Returns!$J$6:$J$509)</f>
        <v/>
      </c>
      <c r="K40" s="25">
        <f>CORREL(Returns!$B$6:$B$509,Returns!$K$6:$K$509)</f>
        <v/>
      </c>
    </row>
    <row r="41">
      <c r="A41" s="14">
        <f>Inputs!A11</f>
        <v/>
      </c>
      <c r="B41" s="25">
        <f>CORREL(Returns!$C$6:$C$509,Returns!$B$6:$B$509)</f>
        <v/>
      </c>
      <c r="C41" s="25">
        <f>CORREL(Returns!$C$6:$C$509,Returns!$C$6:$C$509)</f>
        <v/>
      </c>
      <c r="D41" s="25">
        <f>CORREL(Returns!$C$6:$C$509,Returns!$D$6:$D$509)</f>
        <v/>
      </c>
      <c r="E41" s="25">
        <f>CORREL(Returns!$C$6:$C$509,Returns!$E$6:$E$509)</f>
        <v/>
      </c>
      <c r="F41" s="25">
        <f>CORREL(Returns!$C$6:$C$509,Returns!$F$6:$F$509)</f>
        <v/>
      </c>
      <c r="G41" s="25">
        <f>CORREL(Returns!$C$6:$C$509,Returns!$G$6:$G$509)</f>
        <v/>
      </c>
      <c r="H41" s="25">
        <f>CORREL(Returns!$C$6:$C$509,Returns!$H$6:$H$509)</f>
        <v/>
      </c>
      <c r="I41" s="25">
        <f>CORREL(Returns!$C$6:$C$509,Returns!$I$6:$I$509)</f>
        <v/>
      </c>
      <c r="J41" s="25">
        <f>CORREL(Returns!$C$6:$C$509,Returns!$J$6:$J$509)</f>
        <v/>
      </c>
      <c r="K41" s="25">
        <f>CORREL(Returns!$C$6:$C$509,Returns!$K$6:$K$509)</f>
        <v/>
      </c>
    </row>
    <row r="42">
      <c r="A42" s="14">
        <f>Inputs!A12</f>
        <v/>
      </c>
      <c r="B42" s="25">
        <f>CORREL(Returns!$D$6:$D$509,Returns!$B$6:$B$509)</f>
        <v/>
      </c>
      <c r="C42" s="25">
        <f>CORREL(Returns!$D$6:$D$509,Returns!$C$6:$C$509)</f>
        <v/>
      </c>
      <c r="D42" s="25">
        <f>CORREL(Returns!$D$6:$D$509,Returns!$D$6:$D$509)</f>
        <v/>
      </c>
      <c r="E42" s="25">
        <f>CORREL(Returns!$D$6:$D$509,Returns!$E$6:$E$509)</f>
        <v/>
      </c>
      <c r="F42" s="25">
        <f>CORREL(Returns!$D$6:$D$509,Returns!$F$6:$F$509)</f>
        <v/>
      </c>
      <c r="G42" s="25">
        <f>CORREL(Returns!$D$6:$D$509,Returns!$G$6:$G$509)</f>
        <v/>
      </c>
      <c r="H42" s="25">
        <f>CORREL(Returns!$D$6:$D$509,Returns!$H$6:$H$509)</f>
        <v/>
      </c>
      <c r="I42" s="25">
        <f>CORREL(Returns!$D$6:$D$509,Returns!$I$6:$I$509)</f>
        <v/>
      </c>
      <c r="J42" s="25">
        <f>CORREL(Returns!$D$6:$D$509,Returns!$J$6:$J$509)</f>
        <v/>
      </c>
      <c r="K42" s="25">
        <f>CORREL(Returns!$D$6:$D$509,Returns!$K$6:$K$509)</f>
        <v/>
      </c>
    </row>
    <row r="43">
      <c r="A43" s="14">
        <f>Inputs!A13</f>
        <v/>
      </c>
      <c r="B43" s="25">
        <f>CORREL(Returns!$E$6:$E$509,Returns!$B$6:$B$509)</f>
        <v/>
      </c>
      <c r="C43" s="25">
        <f>CORREL(Returns!$E$6:$E$509,Returns!$C$6:$C$509)</f>
        <v/>
      </c>
      <c r="D43" s="25">
        <f>CORREL(Returns!$E$6:$E$509,Returns!$D$6:$D$509)</f>
        <v/>
      </c>
      <c r="E43" s="25">
        <f>CORREL(Returns!$E$6:$E$509,Returns!$E$6:$E$509)</f>
        <v/>
      </c>
      <c r="F43" s="25">
        <f>CORREL(Returns!$E$6:$E$509,Returns!$F$6:$F$509)</f>
        <v/>
      </c>
      <c r="G43" s="25">
        <f>CORREL(Returns!$E$6:$E$509,Returns!$G$6:$G$509)</f>
        <v/>
      </c>
      <c r="H43" s="25">
        <f>CORREL(Returns!$E$6:$E$509,Returns!$H$6:$H$509)</f>
        <v/>
      </c>
      <c r="I43" s="25">
        <f>CORREL(Returns!$E$6:$E$509,Returns!$I$6:$I$509)</f>
        <v/>
      </c>
      <c r="J43" s="25">
        <f>CORREL(Returns!$E$6:$E$509,Returns!$J$6:$J$509)</f>
        <v/>
      </c>
      <c r="K43" s="25">
        <f>CORREL(Returns!$E$6:$E$509,Returns!$K$6:$K$509)</f>
        <v/>
      </c>
    </row>
    <row r="44">
      <c r="A44" s="14">
        <f>Inputs!A14</f>
        <v/>
      </c>
      <c r="B44" s="25">
        <f>CORREL(Returns!$F$6:$F$509,Returns!$B$6:$B$509)</f>
        <v/>
      </c>
      <c r="C44" s="25">
        <f>CORREL(Returns!$F$6:$F$509,Returns!$C$6:$C$509)</f>
        <v/>
      </c>
      <c r="D44" s="25">
        <f>CORREL(Returns!$F$6:$F$509,Returns!$D$6:$D$509)</f>
        <v/>
      </c>
      <c r="E44" s="25">
        <f>CORREL(Returns!$F$6:$F$509,Returns!$E$6:$E$509)</f>
        <v/>
      </c>
      <c r="F44" s="25">
        <f>CORREL(Returns!$F$6:$F$509,Returns!$F$6:$F$509)</f>
        <v/>
      </c>
      <c r="G44" s="25">
        <f>CORREL(Returns!$F$6:$F$509,Returns!$G$6:$G$509)</f>
        <v/>
      </c>
      <c r="H44" s="25">
        <f>CORREL(Returns!$F$6:$F$509,Returns!$H$6:$H$509)</f>
        <v/>
      </c>
      <c r="I44" s="25">
        <f>CORREL(Returns!$F$6:$F$509,Returns!$I$6:$I$509)</f>
        <v/>
      </c>
      <c r="J44" s="25">
        <f>CORREL(Returns!$F$6:$F$509,Returns!$J$6:$J$509)</f>
        <v/>
      </c>
      <c r="K44" s="25">
        <f>CORREL(Returns!$F$6:$F$509,Returns!$K$6:$K$509)</f>
        <v/>
      </c>
    </row>
    <row r="45">
      <c r="A45" s="14">
        <f>Inputs!A15</f>
        <v/>
      </c>
      <c r="B45" s="25">
        <f>CORREL(Returns!$G$6:$G$509,Returns!$B$6:$B$509)</f>
        <v/>
      </c>
      <c r="C45" s="25">
        <f>CORREL(Returns!$G$6:$G$509,Returns!$C$6:$C$509)</f>
        <v/>
      </c>
      <c r="D45" s="25">
        <f>CORREL(Returns!$G$6:$G$509,Returns!$D$6:$D$509)</f>
        <v/>
      </c>
      <c r="E45" s="25">
        <f>CORREL(Returns!$G$6:$G$509,Returns!$E$6:$E$509)</f>
        <v/>
      </c>
      <c r="F45" s="25">
        <f>CORREL(Returns!$G$6:$G$509,Returns!$F$6:$F$509)</f>
        <v/>
      </c>
      <c r="G45" s="25">
        <f>CORREL(Returns!$G$6:$G$509,Returns!$G$6:$G$509)</f>
        <v/>
      </c>
      <c r="H45" s="25">
        <f>CORREL(Returns!$G$6:$G$509,Returns!$H$6:$H$509)</f>
        <v/>
      </c>
      <c r="I45" s="25">
        <f>CORREL(Returns!$G$6:$G$509,Returns!$I$6:$I$509)</f>
        <v/>
      </c>
      <c r="J45" s="25">
        <f>CORREL(Returns!$G$6:$G$509,Returns!$J$6:$J$509)</f>
        <v/>
      </c>
      <c r="K45" s="25">
        <f>CORREL(Returns!$G$6:$G$509,Returns!$K$6:$K$509)</f>
        <v/>
      </c>
    </row>
    <row r="46">
      <c r="A46" s="14">
        <f>Inputs!A16</f>
        <v/>
      </c>
      <c r="B46" s="25">
        <f>CORREL(Returns!$H$6:$H$509,Returns!$B$6:$B$509)</f>
        <v/>
      </c>
      <c r="C46" s="25">
        <f>CORREL(Returns!$H$6:$H$509,Returns!$C$6:$C$509)</f>
        <v/>
      </c>
      <c r="D46" s="25">
        <f>CORREL(Returns!$H$6:$H$509,Returns!$D$6:$D$509)</f>
        <v/>
      </c>
      <c r="E46" s="25">
        <f>CORREL(Returns!$H$6:$H$509,Returns!$E$6:$E$509)</f>
        <v/>
      </c>
      <c r="F46" s="25">
        <f>CORREL(Returns!$H$6:$H$509,Returns!$F$6:$F$509)</f>
        <v/>
      </c>
      <c r="G46" s="25">
        <f>CORREL(Returns!$H$6:$H$509,Returns!$G$6:$G$509)</f>
        <v/>
      </c>
      <c r="H46" s="25">
        <f>CORREL(Returns!$H$6:$H$509,Returns!$H$6:$H$509)</f>
        <v/>
      </c>
      <c r="I46" s="25">
        <f>CORREL(Returns!$H$6:$H$509,Returns!$I$6:$I$509)</f>
        <v/>
      </c>
      <c r="J46" s="25">
        <f>CORREL(Returns!$H$6:$H$509,Returns!$J$6:$J$509)</f>
        <v/>
      </c>
      <c r="K46" s="25">
        <f>CORREL(Returns!$H$6:$H$509,Returns!$K$6:$K$509)</f>
        <v/>
      </c>
    </row>
    <row r="47">
      <c r="A47" s="14">
        <f>Inputs!A17</f>
        <v/>
      </c>
      <c r="B47" s="25">
        <f>CORREL(Returns!$I$6:$I$509,Returns!$B$6:$B$509)</f>
        <v/>
      </c>
      <c r="C47" s="25">
        <f>CORREL(Returns!$I$6:$I$509,Returns!$C$6:$C$509)</f>
        <v/>
      </c>
      <c r="D47" s="25">
        <f>CORREL(Returns!$I$6:$I$509,Returns!$D$6:$D$509)</f>
        <v/>
      </c>
      <c r="E47" s="25">
        <f>CORREL(Returns!$I$6:$I$509,Returns!$E$6:$E$509)</f>
        <v/>
      </c>
      <c r="F47" s="25">
        <f>CORREL(Returns!$I$6:$I$509,Returns!$F$6:$F$509)</f>
        <v/>
      </c>
      <c r="G47" s="25">
        <f>CORREL(Returns!$I$6:$I$509,Returns!$G$6:$G$509)</f>
        <v/>
      </c>
      <c r="H47" s="25">
        <f>CORREL(Returns!$I$6:$I$509,Returns!$H$6:$H$509)</f>
        <v/>
      </c>
      <c r="I47" s="25">
        <f>CORREL(Returns!$I$6:$I$509,Returns!$I$6:$I$509)</f>
        <v/>
      </c>
      <c r="J47" s="25">
        <f>CORREL(Returns!$I$6:$I$509,Returns!$J$6:$J$509)</f>
        <v/>
      </c>
      <c r="K47" s="25">
        <f>CORREL(Returns!$I$6:$I$509,Returns!$K$6:$K$509)</f>
        <v/>
      </c>
    </row>
    <row r="48">
      <c r="A48" s="14">
        <f>Inputs!A18</f>
        <v/>
      </c>
      <c r="B48" s="25">
        <f>CORREL(Returns!$J$6:$J$509,Returns!$B$6:$B$509)</f>
        <v/>
      </c>
      <c r="C48" s="25">
        <f>CORREL(Returns!$J$6:$J$509,Returns!$C$6:$C$509)</f>
        <v/>
      </c>
      <c r="D48" s="25">
        <f>CORREL(Returns!$J$6:$J$509,Returns!$D$6:$D$509)</f>
        <v/>
      </c>
      <c r="E48" s="25">
        <f>CORREL(Returns!$J$6:$J$509,Returns!$E$6:$E$509)</f>
        <v/>
      </c>
      <c r="F48" s="25">
        <f>CORREL(Returns!$J$6:$J$509,Returns!$F$6:$F$509)</f>
        <v/>
      </c>
      <c r="G48" s="25">
        <f>CORREL(Returns!$J$6:$J$509,Returns!$G$6:$G$509)</f>
        <v/>
      </c>
      <c r="H48" s="25">
        <f>CORREL(Returns!$J$6:$J$509,Returns!$H$6:$H$509)</f>
        <v/>
      </c>
      <c r="I48" s="25">
        <f>CORREL(Returns!$J$6:$J$509,Returns!$I$6:$I$509)</f>
        <v/>
      </c>
      <c r="J48" s="25">
        <f>CORREL(Returns!$J$6:$J$509,Returns!$J$6:$J$509)</f>
        <v/>
      </c>
      <c r="K48" s="25">
        <f>CORREL(Returns!$J$6:$J$509,Returns!$K$6:$K$509)</f>
        <v/>
      </c>
    </row>
    <row r="49">
      <c r="A49" s="14">
        <f>Inputs!A19</f>
        <v/>
      </c>
      <c r="B49" s="25">
        <f>CORREL(Returns!$K$6:$K$509,Returns!$B$6:$B$509)</f>
        <v/>
      </c>
      <c r="C49" s="25">
        <f>CORREL(Returns!$K$6:$K$509,Returns!$C$6:$C$509)</f>
        <v/>
      </c>
      <c r="D49" s="25">
        <f>CORREL(Returns!$K$6:$K$509,Returns!$D$6:$D$509)</f>
        <v/>
      </c>
      <c r="E49" s="25">
        <f>CORREL(Returns!$K$6:$K$509,Returns!$E$6:$E$509)</f>
        <v/>
      </c>
      <c r="F49" s="25">
        <f>CORREL(Returns!$K$6:$K$509,Returns!$F$6:$F$509)</f>
        <v/>
      </c>
      <c r="G49" s="25">
        <f>CORREL(Returns!$K$6:$K$509,Returns!$G$6:$G$509)</f>
        <v/>
      </c>
      <c r="H49" s="25">
        <f>CORREL(Returns!$K$6:$K$509,Returns!$H$6:$H$509)</f>
        <v/>
      </c>
      <c r="I49" s="25">
        <f>CORREL(Returns!$K$6:$K$509,Returns!$I$6:$I$509)</f>
        <v/>
      </c>
      <c r="J49" s="25">
        <f>CORREL(Returns!$K$6:$K$509,Returns!$J$6:$J$509)</f>
        <v/>
      </c>
      <c r="K49" s="25">
        <f>CORREL(Returns!$K$6:$K$509,Returns!$K$6:$K$509)</f>
        <v/>
      </c>
    </row>
    <row r="52">
      <c r="A52" s="14" t="inlineStr">
        <is>
          <t>Market stress scenarios (beta approximation)</t>
        </is>
      </c>
    </row>
    <row r="53">
      <c r="A53" s="3" t="inlineStr">
        <is>
          <t>SPY shock</t>
        </is>
      </c>
      <c r="B53" s="3" t="inlineStr">
        <is>
          <t>Est. portfolio move</t>
        </is>
      </c>
      <c r="C53" s="3" t="inlineStr">
        <is>
          <t>Est. loss ($)</t>
        </is>
      </c>
    </row>
    <row r="54">
      <c r="A54" s="30" t="n">
        <v>-0.05</v>
      </c>
      <c r="B54" s="24">
        <f>A54*$B$13</f>
        <v/>
      </c>
      <c r="C54" s="26">
        <f>B54*Inputs!$B$3</f>
        <v/>
      </c>
    </row>
    <row r="55">
      <c r="A55" s="30" t="n">
        <v>-0.1</v>
      </c>
      <c r="B55" s="24">
        <f>A55*$B$13</f>
        <v/>
      </c>
      <c r="C55" s="26">
        <f>B55*Inputs!$B$3</f>
        <v/>
      </c>
    </row>
    <row r="56">
      <c r="A56" s="30" t="n">
        <v>-0.2</v>
      </c>
      <c r="B56" s="24">
        <f>A56*$B$13</f>
        <v/>
      </c>
      <c r="C56" s="26">
        <f>B56*Inputs!$B$3</f>
        <v/>
      </c>
    </row>
    <row r="57">
      <c r="A57" s="30" t="n">
        <v>-0.3</v>
      </c>
      <c r="B57" s="24">
        <f>A57*$B$13</f>
        <v/>
      </c>
      <c r="C57" s="26">
        <f>B57*Inputs!$B$3</f>
        <v/>
      </c>
    </row>
    <row r="58">
      <c r="A58" s="9" t="inlineStr">
        <is>
          <t>Single factor: ignores non-linearity and correlations rising in a crash, so real losses can be worse.</t>
        </is>
      </c>
    </row>
    <row r="61">
      <c r="A61" s="14" t="inlineStr">
        <is>
          <t>Distribution of daily portfolio returns</t>
        </is>
      </c>
    </row>
    <row r="62">
      <c r="A62" s="3" t="inlineStr">
        <is>
          <t>Bin</t>
        </is>
      </c>
      <c r="B62" s="3" t="inlineStr">
        <is>
          <t>Days</t>
        </is>
      </c>
      <c r="C62" s="3" t="inlineStr">
        <is>
          <t>% of days</t>
        </is>
      </c>
    </row>
    <row r="63">
      <c r="A63" s="2" t="inlineStr">
        <is>
          <t>&lt; -5.0%</t>
        </is>
      </c>
      <c r="B63" s="2">
        <f>COUNTIF(Returns!$M$6:$M$509,"&lt;-0.05")</f>
        <v/>
      </c>
      <c r="C63" s="28">
        <f>B63/$B$5</f>
        <v/>
      </c>
    </row>
    <row r="64">
      <c r="A64" s="2" t="inlineStr">
        <is>
          <t>-5.0%</t>
        </is>
      </c>
      <c r="B64" s="2">
        <f>COUNTIFS(Returns!$M$6:$M$509,"&gt;=-0.05",Returns!$M$6:$M$509,"&lt;-0.045")</f>
        <v/>
      </c>
      <c r="C64" s="28">
        <f>B64/$B$5</f>
        <v/>
      </c>
    </row>
    <row r="65">
      <c r="A65" s="2" t="inlineStr">
        <is>
          <t>-4.5%</t>
        </is>
      </c>
      <c r="B65" s="2">
        <f>COUNTIFS(Returns!$M$6:$M$509,"&gt;=-0.045",Returns!$M$6:$M$509,"&lt;-0.04")</f>
        <v/>
      </c>
      <c r="C65" s="28">
        <f>B65/$B$5</f>
        <v/>
      </c>
    </row>
    <row r="66">
      <c r="A66" s="2" t="inlineStr">
        <is>
          <t>-4.0%</t>
        </is>
      </c>
      <c r="B66" s="2">
        <f>COUNTIFS(Returns!$M$6:$M$509,"&gt;=-0.04",Returns!$M$6:$M$509,"&lt;-0.035")</f>
        <v/>
      </c>
      <c r="C66" s="28">
        <f>B66/$B$5</f>
        <v/>
      </c>
    </row>
    <row r="67">
      <c r="A67" s="2" t="inlineStr">
        <is>
          <t>-3.5%</t>
        </is>
      </c>
      <c r="B67" s="2">
        <f>COUNTIFS(Returns!$M$6:$M$509,"&gt;=-0.035",Returns!$M$6:$M$509,"&lt;-0.03")</f>
        <v/>
      </c>
      <c r="C67" s="28">
        <f>B67/$B$5</f>
        <v/>
      </c>
    </row>
    <row r="68">
      <c r="A68" s="2" t="inlineStr">
        <is>
          <t>-3.0%</t>
        </is>
      </c>
      <c r="B68" s="2">
        <f>COUNTIFS(Returns!$M$6:$M$509,"&gt;=-0.03",Returns!$M$6:$M$509,"&lt;-0.025")</f>
        <v/>
      </c>
      <c r="C68" s="28">
        <f>B68/$B$5</f>
        <v/>
      </c>
    </row>
    <row r="69">
      <c r="A69" s="2" t="inlineStr">
        <is>
          <t>-2.5%</t>
        </is>
      </c>
      <c r="B69" s="2">
        <f>COUNTIFS(Returns!$M$6:$M$509,"&gt;=-0.025",Returns!$M$6:$M$509,"&lt;-0.02")</f>
        <v/>
      </c>
      <c r="C69" s="28">
        <f>B69/$B$5</f>
        <v/>
      </c>
    </row>
    <row r="70">
      <c r="A70" s="2" t="inlineStr">
        <is>
          <t>-2.0%</t>
        </is>
      </c>
      <c r="B70" s="2">
        <f>COUNTIFS(Returns!$M$6:$M$509,"&gt;=-0.02",Returns!$M$6:$M$509,"&lt;-0.015")</f>
        <v/>
      </c>
      <c r="C70" s="28">
        <f>B70/$B$5</f>
        <v/>
      </c>
    </row>
    <row r="71">
      <c r="A71" s="2" t="inlineStr">
        <is>
          <t>-1.5%</t>
        </is>
      </c>
      <c r="B71" s="2">
        <f>COUNTIFS(Returns!$M$6:$M$509,"&gt;=-0.015",Returns!$M$6:$M$509,"&lt;-0.01")</f>
        <v/>
      </c>
      <c r="C71" s="28">
        <f>B71/$B$5</f>
        <v/>
      </c>
    </row>
    <row r="72">
      <c r="A72" s="2" t="inlineStr">
        <is>
          <t>-1.0%</t>
        </is>
      </c>
      <c r="B72" s="2">
        <f>COUNTIFS(Returns!$M$6:$M$509,"&gt;=-0.01",Returns!$M$6:$M$509,"&lt;-0.005")</f>
        <v/>
      </c>
      <c r="C72" s="28">
        <f>B72/$B$5</f>
        <v/>
      </c>
    </row>
    <row r="73">
      <c r="A73" s="2" t="inlineStr">
        <is>
          <t>-0.5%</t>
        </is>
      </c>
      <c r="B73" s="2">
        <f>COUNTIFS(Returns!$M$6:$M$509,"&gt;=-0.005",Returns!$M$6:$M$509,"&lt;0.0")</f>
        <v/>
      </c>
      <c r="C73" s="28">
        <f>B73/$B$5</f>
        <v/>
      </c>
    </row>
    <row r="74">
      <c r="A74" s="2" t="inlineStr">
        <is>
          <t>+0.0%</t>
        </is>
      </c>
      <c r="B74" s="2">
        <f>COUNTIFS(Returns!$M$6:$M$509,"&gt;=0.0",Returns!$M$6:$M$509,"&lt;0.005")</f>
        <v/>
      </c>
      <c r="C74" s="28">
        <f>B74/$B$5</f>
        <v/>
      </c>
    </row>
    <row r="75">
      <c r="A75" s="2" t="inlineStr">
        <is>
          <t>+0.5%</t>
        </is>
      </c>
      <c r="B75" s="2">
        <f>COUNTIFS(Returns!$M$6:$M$509,"&gt;=0.005",Returns!$M$6:$M$509,"&lt;0.01")</f>
        <v/>
      </c>
      <c r="C75" s="28">
        <f>B75/$B$5</f>
        <v/>
      </c>
    </row>
    <row r="76">
      <c r="A76" s="2" t="inlineStr">
        <is>
          <t>+1.0%</t>
        </is>
      </c>
      <c r="B76" s="2">
        <f>COUNTIFS(Returns!$M$6:$M$509,"&gt;=0.01",Returns!$M$6:$M$509,"&lt;0.015")</f>
        <v/>
      </c>
      <c r="C76" s="28">
        <f>B76/$B$5</f>
        <v/>
      </c>
    </row>
    <row r="77">
      <c r="A77" s="2" t="inlineStr">
        <is>
          <t>+1.5%</t>
        </is>
      </c>
      <c r="B77" s="2">
        <f>COUNTIFS(Returns!$M$6:$M$509,"&gt;=0.015",Returns!$M$6:$M$509,"&lt;0.02")</f>
        <v/>
      </c>
      <c r="C77" s="28">
        <f>B77/$B$5</f>
        <v/>
      </c>
    </row>
    <row r="78">
      <c r="A78" s="2" t="inlineStr">
        <is>
          <t>+2.0%</t>
        </is>
      </c>
      <c r="B78" s="2">
        <f>COUNTIFS(Returns!$M$6:$M$509,"&gt;=0.02",Returns!$M$6:$M$509,"&lt;0.025")</f>
        <v/>
      </c>
      <c r="C78" s="28">
        <f>B78/$B$5</f>
        <v/>
      </c>
    </row>
    <row r="79">
      <c r="A79" s="2" t="inlineStr">
        <is>
          <t>+2.5%</t>
        </is>
      </c>
      <c r="B79" s="2">
        <f>COUNTIFS(Returns!$M$6:$M$509,"&gt;=0.025",Returns!$M$6:$M$509,"&lt;0.03")</f>
        <v/>
      </c>
      <c r="C79" s="28">
        <f>B79/$B$5</f>
        <v/>
      </c>
    </row>
    <row r="80">
      <c r="A80" s="2" t="inlineStr">
        <is>
          <t>+3.0%</t>
        </is>
      </c>
      <c r="B80" s="2">
        <f>COUNTIFS(Returns!$M$6:$M$509,"&gt;=0.03",Returns!$M$6:$M$509,"&lt;0.035")</f>
        <v/>
      </c>
      <c r="C80" s="28">
        <f>B80/$B$5</f>
        <v/>
      </c>
    </row>
    <row r="81">
      <c r="A81" s="2" t="inlineStr">
        <is>
          <t>+3.5%</t>
        </is>
      </c>
      <c r="B81" s="2">
        <f>COUNTIFS(Returns!$M$6:$M$509,"&gt;=0.035",Returns!$M$6:$M$509,"&lt;0.04")</f>
        <v/>
      </c>
      <c r="C81" s="28">
        <f>B81/$B$5</f>
        <v/>
      </c>
    </row>
    <row r="82">
      <c r="A82" s="2" t="inlineStr">
        <is>
          <t>+4.0%</t>
        </is>
      </c>
      <c r="B82" s="2">
        <f>COUNTIFS(Returns!$M$6:$M$509,"&gt;=0.04",Returns!$M$6:$M$509,"&lt;0.045")</f>
        <v/>
      </c>
      <c r="C82" s="28">
        <f>B82/$B$5</f>
        <v/>
      </c>
    </row>
    <row r="83">
      <c r="A83" s="2" t="inlineStr">
        <is>
          <t>+4.5%</t>
        </is>
      </c>
      <c r="B83" s="2">
        <f>COUNTIFS(Returns!$M$6:$M$509,"&gt;=0.045",Returns!$M$6:$M$509,"&lt;0.05")</f>
        <v/>
      </c>
      <c r="C83" s="28">
        <f>B83/$B$5</f>
        <v/>
      </c>
    </row>
    <row r="84">
      <c r="A84" s="2" t="inlineStr">
        <is>
          <t>&gt;= 5.0%</t>
        </is>
      </c>
      <c r="B84" s="2">
        <f>COUNTIF(Returns!$M$6:$M$509,"&gt;=0.05")</f>
        <v/>
      </c>
      <c r="C84" s="28">
        <f>B84/$B$5</f>
        <v/>
      </c>
    </row>
  </sheetData>
  <conditionalFormatting sqref="B40:K49">
    <cfRule type="colorScale" priority="1">
      <colorScale>
        <cfvo type="num" val="0"/>
        <cfvo type="num" val="1"/>
        <color rgb="00FFFFFF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Sector performance (equal-weighted sector portfolios, full history)</t>
        </is>
      </c>
    </row>
    <row r="2">
      <c r="A2" s="2" t="inlineStr">
        <is>
          <t>Source: sql/queries/q2_sector_performance.sql. Data source: yfinance+fred</t>
        </is>
      </c>
    </row>
    <row r="4">
      <c r="A4" s="3" t="inlineStr">
        <is>
          <t>sector</t>
        </is>
      </c>
      <c r="B4" s="3" t="inlineStr">
        <is>
          <t>ann_return_pct</t>
        </is>
      </c>
      <c r="C4" s="3" t="inlineStr">
        <is>
          <t>ann_vol_pct</t>
        </is>
      </c>
      <c r="D4" s="3" t="inlineStr">
        <is>
          <t>return_to_risk</t>
        </is>
      </c>
      <c r="E4" s="3" t="inlineStr">
        <is>
          <t>worst_day_pct</t>
        </is>
      </c>
      <c r="F4" s="3" t="inlineStr">
        <is>
          <t>rank_by_return_to_risk</t>
        </is>
      </c>
    </row>
    <row r="5">
      <c r="A5" s="13" t="inlineStr">
        <is>
          <t>Technology</t>
        </is>
      </c>
      <c r="B5" s="13" t="n">
        <v>36.32</v>
      </c>
      <c r="C5" s="13" t="n">
        <v>27.68</v>
      </c>
      <c r="D5" s="13" t="n">
        <v>1.31</v>
      </c>
      <c r="E5" s="13" t="n">
        <v>-15.37</v>
      </c>
      <c r="F5" s="13" t="n">
        <v>1</v>
      </c>
    </row>
    <row r="6">
      <c r="A6" s="13" t="inlineStr">
        <is>
          <t>Consumer Discretionary</t>
        </is>
      </c>
      <c r="B6" s="13" t="n">
        <v>23.66</v>
      </c>
      <c r="C6" s="13" t="n">
        <v>23.48</v>
      </c>
      <c r="D6" s="13" t="n">
        <v>1.01</v>
      </c>
      <c r="E6" s="13" t="n">
        <v>-14.25</v>
      </c>
      <c r="F6" s="13" t="n">
        <v>2</v>
      </c>
    </row>
    <row r="7">
      <c r="A7" s="13" t="inlineStr">
        <is>
          <t>Health Care</t>
        </is>
      </c>
      <c r="B7" s="13" t="n">
        <v>15.75</v>
      </c>
      <c r="C7" s="13" t="n">
        <v>17.65</v>
      </c>
      <c r="D7" s="13" t="n">
        <v>0.89</v>
      </c>
      <c r="E7" s="13" t="n">
        <v>-9.9</v>
      </c>
      <c r="F7" s="13" t="n">
        <v>3</v>
      </c>
    </row>
    <row r="8">
      <c r="A8" s="13" t="inlineStr">
        <is>
          <t>Communication</t>
        </is>
      </c>
      <c r="B8" s="13" t="n">
        <v>16.94</v>
      </c>
      <c r="C8" s="13" t="n">
        <v>19.09</v>
      </c>
      <c r="D8" s="13" t="n">
        <v>0.89</v>
      </c>
      <c r="E8" s="13" t="n">
        <v>-9.390000000000001</v>
      </c>
      <c r="F8" s="13" t="n">
        <v>4</v>
      </c>
    </row>
    <row r="9">
      <c r="A9" s="13" t="inlineStr">
        <is>
          <t>Consumer Staples</t>
        </is>
      </c>
      <c r="B9" s="13" t="n">
        <v>12.86</v>
      </c>
      <c r="C9" s="13" t="n">
        <v>15.3</v>
      </c>
      <c r="D9" s="13" t="n">
        <v>0.84</v>
      </c>
      <c r="E9" s="13" t="n">
        <v>-8.9</v>
      </c>
      <c r="F9" s="13" t="n">
        <v>5</v>
      </c>
    </row>
    <row r="10">
      <c r="A10" s="13" t="inlineStr">
        <is>
          <t>Materials</t>
        </is>
      </c>
      <c r="B10" s="13" t="n">
        <v>15.79</v>
      </c>
      <c r="C10" s="13" t="n">
        <v>21.21</v>
      </c>
      <c r="D10" s="13" t="n">
        <v>0.74</v>
      </c>
      <c r="E10" s="13" t="n">
        <v>-14.48</v>
      </c>
      <c r="F10" s="13" t="n">
        <v>6</v>
      </c>
    </row>
    <row r="11">
      <c r="A11" s="13" t="inlineStr">
        <is>
          <t>Financials</t>
        </is>
      </c>
      <c r="B11" s="13" t="n">
        <v>17.61</v>
      </c>
      <c r="C11" s="13" t="n">
        <v>25.59</v>
      </c>
      <c r="D11" s="13" t="n">
        <v>0.6899999999999999</v>
      </c>
      <c r="E11" s="13" t="n">
        <v>-13.73</v>
      </c>
      <c r="F11" s="13" t="n">
        <v>7</v>
      </c>
    </row>
    <row r="12">
      <c r="A12" s="13" t="inlineStr">
        <is>
          <t>Industrials</t>
        </is>
      </c>
      <c r="B12" s="13" t="n">
        <v>14.38</v>
      </c>
      <c r="C12" s="13" t="n">
        <v>23.38</v>
      </c>
      <c r="D12" s="13" t="n">
        <v>0.62</v>
      </c>
      <c r="E12" s="13" t="n">
        <v>-12.47</v>
      </c>
      <c r="F12" s="13" t="n">
        <v>8</v>
      </c>
    </row>
    <row r="13">
      <c r="A13" s="13" t="inlineStr">
        <is>
          <t>Utilities</t>
        </is>
      </c>
      <c r="B13" s="13" t="n">
        <v>12.27</v>
      </c>
      <c r="C13" s="13" t="n">
        <v>20.11</v>
      </c>
      <c r="D13" s="13" t="n">
        <v>0.61</v>
      </c>
      <c r="E13" s="13" t="n">
        <v>-11.74</v>
      </c>
      <c r="F13" s="13" t="n">
        <v>9</v>
      </c>
    </row>
    <row r="14">
      <c r="A14" s="13" t="inlineStr">
        <is>
          <t>Real Estate</t>
        </is>
      </c>
      <c r="B14" s="13" t="n">
        <v>13.65</v>
      </c>
      <c r="C14" s="13" t="n">
        <v>23.39</v>
      </c>
      <c r="D14" s="13" t="n">
        <v>0.58</v>
      </c>
      <c r="E14" s="13" t="n">
        <v>-16.22</v>
      </c>
      <c r="F14" s="13" t="n">
        <v>10</v>
      </c>
    </row>
    <row r="15">
      <c r="A15" s="13" t="inlineStr">
        <is>
          <t>Energy</t>
        </is>
      </c>
      <c r="B15" s="13" t="n">
        <v>9.59</v>
      </c>
      <c r="C15" s="13" t="n">
        <v>30.59</v>
      </c>
      <c r="D15" s="13" t="n">
        <v>0.31</v>
      </c>
      <c r="E15" s="13" t="n">
        <v>-19.96</v>
      </c>
      <c r="F15" s="1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Sector behaviour by prior-day VIX regime</t>
        </is>
      </c>
    </row>
    <row r="2">
      <c r="A2" s="2" t="inlineStr">
        <is>
          <t>Source: sql/queries/q6_regime_performance.sql. Data source: yfinance+fred</t>
        </is>
      </c>
    </row>
    <row r="4">
      <c r="A4" s="14" t="inlineStr">
        <is>
          <t>Annualised return (%)</t>
        </is>
      </c>
    </row>
    <row r="5">
      <c r="A5" s="3" t="inlineStr">
        <is>
          <t>sector</t>
        </is>
      </c>
      <c r="B5" s="3" t="inlineStr">
        <is>
          <t>1 Low (&lt;15)</t>
        </is>
      </c>
      <c r="C5" s="3" t="inlineStr">
        <is>
          <t>2 Mid (15-25)</t>
        </is>
      </c>
      <c r="D5" s="3" t="inlineStr">
        <is>
          <t>3 High (25+)</t>
        </is>
      </c>
    </row>
    <row r="6">
      <c r="A6" s="13" t="inlineStr">
        <is>
          <t>Communication</t>
        </is>
      </c>
      <c r="B6" s="13" t="n">
        <v>21.4</v>
      </c>
      <c r="C6" s="13" t="n">
        <v>11.5</v>
      </c>
      <c r="D6" s="13" t="n">
        <v>24.4</v>
      </c>
    </row>
    <row r="7">
      <c r="A7" s="13" t="inlineStr">
        <is>
          <t>Consumer Discretionary</t>
        </is>
      </c>
      <c r="B7" s="13" t="n">
        <v>20.4</v>
      </c>
      <c r="C7" s="13" t="n">
        <v>19</v>
      </c>
      <c r="D7" s="13" t="n">
        <v>49.3</v>
      </c>
    </row>
    <row r="8">
      <c r="A8" s="13" t="inlineStr">
        <is>
          <t>Consumer Staples</t>
        </is>
      </c>
      <c r="B8" s="13" t="n">
        <v>11.7</v>
      </c>
      <c r="C8" s="13" t="n">
        <v>13.6</v>
      </c>
      <c r="D8" s="13" t="n">
        <v>13.3</v>
      </c>
    </row>
    <row r="9">
      <c r="A9" s="13" t="inlineStr">
        <is>
          <t>Energy</t>
        </is>
      </c>
      <c r="B9" s="13" t="n">
        <v>-6.1</v>
      </c>
      <c r="C9" s="13" t="n">
        <v>20.9</v>
      </c>
      <c r="D9" s="13" t="n">
        <v>11.7</v>
      </c>
    </row>
    <row r="10">
      <c r="A10" s="13" t="inlineStr">
        <is>
          <t>Financials</t>
        </is>
      </c>
      <c r="B10" s="13" t="n">
        <v>21.5</v>
      </c>
      <c r="C10" s="13" t="n">
        <v>12.1</v>
      </c>
      <c r="D10" s="13" t="n">
        <v>26.7</v>
      </c>
    </row>
    <row r="11">
      <c r="A11" s="13" t="inlineStr">
        <is>
          <t>Health Care</t>
        </is>
      </c>
      <c r="B11" s="13" t="n">
        <v>15.2</v>
      </c>
      <c r="C11" s="13" t="n">
        <v>9.4</v>
      </c>
      <c r="D11" s="13" t="n">
        <v>40.1</v>
      </c>
    </row>
    <row r="12">
      <c r="A12" s="13" t="inlineStr">
        <is>
          <t>Industrials</t>
        </is>
      </c>
      <c r="B12" s="13" t="n">
        <v>7.4</v>
      </c>
      <c r="C12" s="13" t="n">
        <v>15.9</v>
      </c>
      <c r="D12" s="13" t="n">
        <v>28.1</v>
      </c>
    </row>
    <row r="13">
      <c r="A13" s="13" t="inlineStr">
        <is>
          <t>Materials</t>
        </is>
      </c>
      <c r="B13" s="13" t="n">
        <v>12.9</v>
      </c>
      <c r="C13" s="13" t="n">
        <v>8.300000000000001</v>
      </c>
      <c r="D13" s="13" t="n">
        <v>50.6</v>
      </c>
    </row>
    <row r="14">
      <c r="A14" s="13" t="inlineStr">
        <is>
          <t>Real Estate</t>
        </is>
      </c>
      <c r="B14" s="13" t="n">
        <v>12.7</v>
      </c>
      <c r="C14" s="13" t="n">
        <v>15.9</v>
      </c>
      <c r="D14" s="13" t="n">
        <v>7.9</v>
      </c>
    </row>
    <row r="15">
      <c r="A15" s="13" t="inlineStr">
        <is>
          <t>Technology</t>
        </is>
      </c>
      <c r="B15" s="13" t="n">
        <v>27.2</v>
      </c>
      <c r="C15" s="13" t="n">
        <v>32.8</v>
      </c>
      <c r="D15" s="13" t="n">
        <v>73.8</v>
      </c>
    </row>
    <row r="16">
      <c r="A16" s="13" t="inlineStr">
        <is>
          <t>Utilities</t>
        </is>
      </c>
      <c r="B16" s="13" t="n">
        <v>6.4</v>
      </c>
      <c r="C16" s="13" t="n">
        <v>17.7</v>
      </c>
      <c r="D16" s="13" t="n">
        <v>8.800000000000001</v>
      </c>
    </row>
    <row r="19">
      <c r="A19" s="14" t="inlineStr">
        <is>
          <t>Annualised volatility (%)</t>
        </is>
      </c>
    </row>
    <row r="20">
      <c r="A20" s="3" t="inlineStr">
        <is>
          <t>sector</t>
        </is>
      </c>
      <c r="B20" s="3" t="inlineStr">
        <is>
          <t>1 Low (&lt;15)</t>
        </is>
      </c>
      <c r="C20" s="3" t="inlineStr">
        <is>
          <t>2 Mid (15-25)</t>
        </is>
      </c>
      <c r="D20" s="3" t="inlineStr">
        <is>
          <t>3 High (25+)</t>
        </is>
      </c>
    </row>
    <row r="21">
      <c r="A21" s="13" t="inlineStr">
        <is>
          <t>Communication</t>
        </is>
      </c>
      <c r="B21" s="13" t="n">
        <v>12.4</v>
      </c>
      <c r="C21" s="13" t="n">
        <v>17.8</v>
      </c>
      <c r="D21" s="13" t="n">
        <v>33.3</v>
      </c>
    </row>
    <row r="22">
      <c r="A22" s="13" t="inlineStr">
        <is>
          <t>Consumer Discretionary</t>
        </is>
      </c>
      <c r="B22" s="13" t="n">
        <v>14.5</v>
      </c>
      <c r="C22" s="13" t="n">
        <v>22</v>
      </c>
      <c r="D22" s="13" t="n">
        <v>41.6</v>
      </c>
    </row>
    <row r="23">
      <c r="A23" s="13" t="inlineStr">
        <is>
          <t>Consumer Staples</t>
        </is>
      </c>
      <c r="B23" s="13" t="n">
        <v>9.699999999999999</v>
      </c>
      <c r="C23" s="13" t="n">
        <v>13.3</v>
      </c>
      <c r="D23" s="13" t="n">
        <v>28.6</v>
      </c>
    </row>
    <row r="24">
      <c r="A24" s="13" t="inlineStr">
        <is>
          <t>Energy</t>
        </is>
      </c>
      <c r="B24" s="13" t="n">
        <v>17.4</v>
      </c>
      <c r="C24" s="13" t="n">
        <v>28</v>
      </c>
      <c r="D24" s="13" t="n">
        <v>56.6</v>
      </c>
    </row>
    <row r="25">
      <c r="A25" s="13" t="inlineStr">
        <is>
          <t>Financials</t>
        </is>
      </c>
      <c r="B25" s="13" t="n">
        <v>15.6</v>
      </c>
      <c r="C25" s="13" t="n">
        <v>23.2</v>
      </c>
      <c r="D25" s="13" t="n">
        <v>46.8</v>
      </c>
    </row>
    <row r="26">
      <c r="A26" s="13" t="inlineStr">
        <is>
          <t>Health Care</t>
        </is>
      </c>
      <c r="B26" s="13" t="n">
        <v>11.9</v>
      </c>
      <c r="C26" s="13" t="n">
        <v>16.5</v>
      </c>
      <c r="D26" s="13" t="n">
        <v>30.2</v>
      </c>
    </row>
    <row r="27">
      <c r="A27" s="13" t="inlineStr">
        <is>
          <t>Industrials</t>
        </is>
      </c>
      <c r="B27" s="13" t="n">
        <v>13.5</v>
      </c>
      <c r="C27" s="13" t="n">
        <v>20.5</v>
      </c>
      <c r="D27" s="13" t="n">
        <v>44.6</v>
      </c>
    </row>
    <row r="28">
      <c r="A28" s="13" t="inlineStr">
        <is>
          <t>Materials</t>
        </is>
      </c>
      <c r="B28" s="13" t="n">
        <v>14.6</v>
      </c>
      <c r="C28" s="13" t="n">
        <v>18.8</v>
      </c>
      <c r="D28" s="13" t="n">
        <v>37.8</v>
      </c>
    </row>
    <row r="29">
      <c r="A29" s="13" t="inlineStr">
        <is>
          <t>Real Estate</t>
        </is>
      </c>
      <c r="B29" s="13" t="n">
        <v>16.3</v>
      </c>
      <c r="C29" s="13" t="n">
        <v>20.3</v>
      </c>
      <c r="D29" s="13" t="n">
        <v>42.4</v>
      </c>
    </row>
    <row r="30">
      <c r="A30" s="13" t="inlineStr">
        <is>
          <t>Technology</t>
        </is>
      </c>
      <c r="B30" s="13" t="n">
        <v>18.7</v>
      </c>
      <c r="C30" s="13" t="n">
        <v>26.4</v>
      </c>
      <c r="D30" s="13" t="n">
        <v>46.3</v>
      </c>
    </row>
    <row r="31">
      <c r="A31" s="13" t="inlineStr">
        <is>
          <t>Utilities</t>
        </is>
      </c>
      <c r="B31" s="13" t="n">
        <v>13.9</v>
      </c>
      <c r="C31" s="13" t="n">
        <v>16.7</v>
      </c>
      <c r="D31" s="13" t="n">
        <v>37.9</v>
      </c>
    </row>
  </sheetData>
  <conditionalFormatting sqref="B6:D16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1:D31">
    <cfRule type="colorScale" priority="2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Volatility forecasting and vol-target backtest (SPY)</t>
        </is>
      </c>
    </row>
    <row r="2">
      <c r="A2" s="2" t="inlineStr">
        <is>
          <t>Data source: yfinance+fred</t>
        </is>
      </c>
    </row>
    <row r="3">
      <c r="A3" s="2" t="inlineStr">
        <is>
          <t>Lower QLIKE / MSE is better. DM stat &lt; 0 means better than GARCH. Walk-forward, refit quarterly.</t>
        </is>
      </c>
    </row>
    <row r="5">
      <c r="A5" s="3" t="inlineStr">
        <is>
          <t>model</t>
        </is>
      </c>
      <c r="B5" s="3" t="inlineStr">
        <is>
          <t>QLIKE</t>
        </is>
      </c>
      <c r="C5" s="3" t="inlineStr">
        <is>
          <t>MSE</t>
        </is>
      </c>
      <c r="D5" s="3" t="inlineStr">
        <is>
          <t>MZ_R2</t>
        </is>
      </c>
      <c r="E5" s="3" t="inlineStr">
        <is>
          <t>DM_stat_vs_GARCH</t>
        </is>
      </c>
      <c r="F5" s="3" t="inlineStr">
        <is>
          <t>DM_pvalue</t>
        </is>
      </c>
    </row>
    <row r="6">
      <c r="A6" s="13" t="inlineStr">
        <is>
          <t>GARCH(1,1)-t</t>
        </is>
      </c>
      <c r="B6" s="31" t="n">
        <v>0.9452805495171572</v>
      </c>
      <c r="C6" s="31" t="n">
        <v>25.7838506676696</v>
      </c>
      <c r="D6" s="31" t="n">
        <v>0.2715727543695922</v>
      </c>
      <c r="E6" s="31" t="n">
        <v/>
      </c>
      <c r="F6" s="31" t="n">
        <v/>
      </c>
    </row>
    <row r="7">
      <c r="A7" s="13" t="inlineStr">
        <is>
          <t>VIX bucket</t>
        </is>
      </c>
      <c r="B7" s="31" t="n">
        <v>1.030123123881733</v>
      </c>
      <c r="C7" s="31" t="n">
        <v>37.20748001900044</v>
      </c>
      <c r="D7" s="31" t="n">
        <v>0.0266359794627247</v>
      </c>
      <c r="E7" s="31" t="n">
        <v>1.510832766175094</v>
      </c>
      <c r="F7" s="31" t="n">
        <v>0.130831064217733</v>
      </c>
    </row>
    <row r="8">
      <c r="A8" s="13" t="inlineStr">
        <is>
          <t>EWMA</t>
        </is>
      </c>
      <c r="B8" s="31" t="n">
        <v>1.030557789369453</v>
      </c>
      <c r="C8" s="31" t="n">
        <v>29.4083742777704</v>
      </c>
      <c r="D8" s="31" t="n">
        <v>0.1634886085319817</v>
      </c>
      <c r="E8" s="31" t="n">
        <v>3.230336490835456</v>
      </c>
      <c r="F8" s="31" t="n">
        <v>0.0012364460450549</v>
      </c>
    </row>
    <row r="9">
      <c r="A9" s="13" t="inlineStr">
        <is>
          <t>Rolling 21d</t>
        </is>
      </c>
      <c r="B9" s="31" t="n">
        <v>1.07877799445966</v>
      </c>
      <c r="C9" s="31" t="n">
        <v>31.44091469057184</v>
      </c>
      <c r="D9" s="31" t="n">
        <v>0.1366768911240438</v>
      </c>
      <c r="E9" s="31" t="n">
        <v>4.216793078817032</v>
      </c>
      <c r="F9" s="31" t="n">
        <v>2.478011633799682e-05</v>
      </c>
    </row>
    <row r="10">
      <c r="A10" s="13" t="inlineStr">
        <is>
          <t>HMM 3-state</t>
        </is>
      </c>
      <c r="B10" s="31" t="n">
        <v>1.087421841632945</v>
      </c>
      <c r="C10" s="31" t="n">
        <v>34.77887401366971</v>
      </c>
      <c r="D10" s="31" t="n">
        <v>0.0242362540646535</v>
      </c>
      <c r="E10" s="31" t="n">
        <v>1.397949618711945</v>
      </c>
      <c r="F10" s="31" t="n">
        <v>0.1621281969171877</v>
      </c>
    </row>
    <row r="11">
      <c r="A11" s="13" t="inlineStr">
        <is>
          <t>HMM 2-state</t>
        </is>
      </c>
      <c r="B11" s="31" t="n">
        <v>1.159817947930217</v>
      </c>
      <c r="C11" s="31" t="n">
        <v>34.58654445716402</v>
      </c>
      <c r="D11" s="31" t="n">
        <v>0.0172761749189971</v>
      </c>
      <c r="E11" s="31" t="n">
        <v>1.611165702345112</v>
      </c>
      <c r="F11" s="31" t="n">
        <v>0.1071436110765731</v>
      </c>
    </row>
    <row r="14">
      <c r="A14" s="14" t="inlineStr">
        <is>
          <t>QLIKE by prior-day VIX bucket</t>
        </is>
      </c>
    </row>
    <row r="15">
      <c r="A15" s="3" t="inlineStr">
        <is>
          <t>model</t>
        </is>
      </c>
      <c r="B15" s="3" t="inlineStr">
        <is>
          <t>VIX 15-25</t>
        </is>
      </c>
      <c r="C15" s="3" t="inlineStr">
        <is>
          <t>VIX 25+</t>
        </is>
      </c>
      <c r="D15" s="3" t="inlineStr">
        <is>
          <t>VIX&lt;15</t>
        </is>
      </c>
    </row>
    <row r="16">
      <c r="A16" s="13" t="inlineStr">
        <is>
          <t>EWMA</t>
        </is>
      </c>
      <c r="B16" s="31" t="n">
        <v>1.062463664353276</v>
      </c>
      <c r="C16" s="31" t="n">
        <v>2.510532864769571</v>
      </c>
      <c r="D16" s="31" t="n">
        <v>-0.0174217815215105</v>
      </c>
    </row>
    <row r="17">
      <c r="A17" s="13" t="inlineStr">
        <is>
          <t>GARCH(1,1)-t</t>
        </is>
      </c>
      <c r="B17" s="31" t="n">
        <v>0.9802073751353978</v>
      </c>
      <c r="C17" s="31" t="n">
        <v>2.365328637026297</v>
      </c>
      <c r="D17" s="31" t="n">
        <v>-0.0694353206478714</v>
      </c>
    </row>
    <row r="18">
      <c r="A18" s="13" t="inlineStr">
        <is>
          <t>HMM 2-state</t>
        </is>
      </c>
      <c r="B18" s="31" t="n">
        <v>1.009733127883507</v>
      </c>
      <c r="C18" s="31" t="n">
        <v>3.478419258309821</v>
      </c>
      <c r="D18" s="31" t="n">
        <v>-0.0565659534860082</v>
      </c>
    </row>
    <row r="19">
      <c r="A19" s="13" t="inlineStr">
        <is>
          <t>HMM 3-state</t>
        </is>
      </c>
      <c r="B19" s="31" t="n">
        <v>0.962611561000298</v>
      </c>
      <c r="C19" s="31" t="n">
        <v>3.20339484194898</v>
      </c>
      <c r="D19" s="31" t="n">
        <v>-0.0485127561744791</v>
      </c>
    </row>
    <row r="20">
      <c r="A20" s="13" t="inlineStr">
        <is>
          <t>Rolling 21d</t>
        </is>
      </c>
      <c r="B20" s="31" t="n">
        <v>1.129156817105527</v>
      </c>
      <c r="C20" s="31" t="n">
        <v>2.568648990746756</v>
      </c>
      <c r="D20" s="31" t="n">
        <v>-0.0150364448208356</v>
      </c>
    </row>
    <row r="21">
      <c r="A21" s="13" t="inlineStr">
        <is>
          <t>VIX bucket</t>
        </is>
      </c>
      <c r="B21" s="31" t="n">
        <v>0.9634892986380172</v>
      </c>
      <c r="C21" s="31" t="n">
        <v>2.930807940465235</v>
      </c>
      <c r="D21" s="31" t="n">
        <v>-0.08694112059211941</v>
      </c>
    </row>
    <row r="24">
      <c r="A24" s="14" t="inlineStr">
        <is>
          <t>Volatility-targeting backtest</t>
        </is>
      </c>
    </row>
    <row r="25">
      <c r="A25" s="3" t="inlineStr">
        <is>
          <t>strategy</t>
        </is>
      </c>
      <c r="B25" s="3" t="inlineStr">
        <is>
          <t>CAGR</t>
        </is>
      </c>
      <c r="C25" s="3" t="inlineStr">
        <is>
          <t>Ann. vol</t>
        </is>
      </c>
      <c r="D25" s="3" t="inlineStr">
        <is>
          <t>Sharpe</t>
        </is>
      </c>
      <c r="E25" s="3" t="inlineStr">
        <is>
          <t>Max drawdown</t>
        </is>
      </c>
      <c r="F25" s="3" t="inlineStr">
        <is>
          <t>Calmar</t>
        </is>
      </c>
      <c r="G25" s="3" t="inlineStr">
        <is>
          <t>Avg SPY weight</t>
        </is>
      </c>
      <c r="H25" s="3" t="inlineStr">
        <is>
          <t>Turnover / yr</t>
        </is>
      </c>
    </row>
    <row r="26">
      <c r="A26" s="13" t="inlineStr">
        <is>
          <t>Buy &amp; hold SPY</t>
        </is>
      </c>
      <c r="B26" s="32" t="n">
        <v>0.1418669874829798</v>
      </c>
      <c r="C26" s="32" t="n">
        <v>0.1946609708658279</v>
      </c>
      <c r="D26" s="29" t="n">
        <v>0.647749043528174</v>
      </c>
      <c r="E26" s="32" t="n">
        <v>-0.3371725386608827</v>
      </c>
      <c r="F26" s="29" t="n">
        <v>0.4207548694399016</v>
      </c>
      <c r="G26" s="32" t="n">
        <v>1</v>
      </c>
      <c r="H26" s="33" t="n">
        <v>0</v>
      </c>
    </row>
    <row r="27">
      <c r="A27" s="13" t="inlineStr">
        <is>
          <t>Vol target: EWMA</t>
        </is>
      </c>
      <c r="B27" s="32" t="n">
        <v>0.0891105267623693</v>
      </c>
      <c r="C27" s="32" t="n">
        <v>0.1024486644534952</v>
      </c>
      <c r="D27" s="29" t="n">
        <v>0.6347999657229215</v>
      </c>
      <c r="E27" s="32" t="n">
        <v>-0.1278152715745912</v>
      </c>
      <c r="F27" s="29" t="n">
        <v>0.6971821572226258</v>
      </c>
      <c r="G27" s="32" t="n">
        <v>0.6963753986539279</v>
      </c>
      <c r="H27" s="33" t="n">
        <v>4.436995833981516</v>
      </c>
    </row>
    <row r="28">
      <c r="A28" s="13" t="inlineStr">
        <is>
          <t>Vol target: GARCH(1,1)-t</t>
        </is>
      </c>
      <c r="B28" s="32" t="n">
        <v>0.0936709484864815</v>
      </c>
      <c r="C28" s="32" t="n">
        <v>0.09989402007360181</v>
      </c>
      <c r="D28" s="29" t="n">
        <v>0.6902685758694822</v>
      </c>
      <c r="E28" s="32" t="n">
        <v>-0.1222423943651001</v>
      </c>
      <c r="F28" s="29" t="n">
        <v>0.7662722001887123</v>
      </c>
      <c r="G28" s="32" t="n">
        <v>0.7052201193928914</v>
      </c>
      <c r="H28" s="33" t="n">
        <v>11.5853783030247</v>
      </c>
    </row>
    <row r="29">
      <c r="A29" s="13" t="inlineStr">
        <is>
          <t>Vol target: HMM 2-state</t>
        </is>
      </c>
      <c r="B29" s="32" t="n">
        <v>0.0897090745942101</v>
      </c>
      <c r="C29" s="32" t="n">
        <v>0.1079034945560437</v>
      </c>
      <c r="D29" s="29" t="n">
        <v>0.6131021830984944</v>
      </c>
      <c r="E29" s="32" t="n">
        <v>-0.1954108537307363</v>
      </c>
      <c r="F29" s="29" t="n">
        <v>0.459079282862269</v>
      </c>
      <c r="G29" s="32" t="n">
        <v>0.6851457081748072</v>
      </c>
      <c r="H29" s="33" t="n">
        <v>13.49673707575581</v>
      </c>
    </row>
    <row r="30">
      <c r="A30" s="13" t="inlineStr">
        <is>
          <t>Vol target: HMM 3-state</t>
        </is>
      </c>
      <c r="B30" s="32" t="n">
        <v>0.0892603622488688</v>
      </c>
      <c r="C30" s="32" t="n">
        <v>0.1077371199985014</v>
      </c>
      <c r="D30" s="29" t="n">
        <v>0.6100786463988813</v>
      </c>
      <c r="E30" s="32" t="n">
        <v>-0.1758787393694086</v>
      </c>
      <c r="F30" s="29" t="n">
        <v>0.5075108143764319</v>
      </c>
      <c r="G30" s="32" t="n">
        <v>0.6994453040690249</v>
      </c>
      <c r="H30" s="33" t="n">
        <v>12.93281948154244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2026-09-30T01:32:19Z</dcterms:created>
  <dcterms:modified xsi:type="dcterms:W3CDTF">2026-09-30T01:32:20Z</dcterms:modified>
</cp:coreProperties>
</file>